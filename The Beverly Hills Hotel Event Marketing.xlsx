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 Beverly Hills Hotel Event M" sheetId="1" r:id="rId5"/>
    <sheet state="visible" name="Keywords" sheetId="2" r:id="rId6"/>
    <sheet state="visible" name="Content" sheetId="3" r:id="rId7"/>
    <sheet state="visible" name="Calendar Events" sheetId="4" r:id="rId8"/>
    <sheet state="visible" name="RSS Feeds" sheetId="5" r:id="rId9"/>
    <sheet state="visible" name="Iframe Embeds"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tc={00b2316d-a8d2-49ed-a5aa-9b85e8923950}</author>
    <author>tc={01c70b53-8132-42cd-a1ae-01168fd35e1b}</author>
    <author>tc={2b1345d6-2ab3-4807-93c8-4f0c0b85fea9}</author>
    <author>tc={2bbf193f-250c-40e1-b478-43285af92e0b}</author>
    <author>tc={30995754-3494-4ca3-bd95-088e0336da96}</author>
    <author>tc={601109aa-6dcf-418b-af80-4d4e1a2e6b40}</author>
    <author>tc={98f8db85-e143-4107-ac10-5c683c2e48ce}</author>
    <author>tc={a991c1b0-2f5e-4cce-80a2-4ab8f1a2d544}</author>
    <author>tc={bb2adadb-6018-4cb6-bd10-3ba7d96d04f2}</author>
    <author>tc={d64b43c7-4dcd-4f70-bf63-322450abe1d5}</author>
    <author>tc={f57b9cc4-5e7d-4313-b33c-43f20e3ac0cd}</author>
  </authors>
  <commentList>
    <comment authorId="0" xr:uid="{00b2316d-a8d2-49ed-a5aa-9b85e8923950}" ref="A1">
      <text>
        <t xml:space="preserve">[Threaded comment]
 Your version of Excel allows you to read this threaded comment; however, any edits to it will get removed if the file is opened in a newer version of Excel. Learn more: https://go.microsoft.com/fwlink/?linkid=870924
Comment:
	presentation html https://docs.google.com/presentation/d/1lWS7aBihXSD6BotlyywEY9giAcz2pwejsyHu4zNGacM/htmlpresent
 document https://docs.google.com/document/d/1vMpo7g74qoF4tlQHiUeY3HAHRtFM8_thL-39ABV0JDg/edit?usp=sharing
 document view https://docs.google.com/document/d/1vMpo7g74qoF4tlQHiUeY3HAHRtFM8_thL-39ABV0JDg/view
 presentation https://docs.google.com/presentation/d/1aqR37Rsej2Jd6u5kVyrE3JVXxEMIGc0dsxp_D11Pkc4/edit?usp=sharing
 presentation view https://docs.google.com/presentation/d/1aqR37Rsej2Jd6u5kVyrE3JVXxEMIGc0dsxp_D11Pkc4/view
 presentation html https://docs.google.com/presentation/d/1aqR37Rsej2Jd6u5kVyrE3JVXxEMIGc0dsxp_D11Pkc4/htmlpresent
 photo https://drive.google.com/file/d/1Pa2ux0PMnrJ7y7fVZuApgm9gZlGrCvkP/view?usp=sharing
 document https://docs.google.com/document/d/1oE3Zfitol1b31kZadqvsbg1PeT4wkkaWHx06BMeRqdE/edit?usp=sharing
 document view https://docs.google.com/document/d/1oE3Zfitol1b31kZadqvsbg1PeT4wkkaWHx06BMeRqdE/view
 presentation https://docs.google.com/presentation/d/1bhlo-FHVyvSReZOWoOBvXKWitJaKEbtszC2uOaOXQfI/edit?usp=sharing
 presentation view https://docs.google.com/presentation/d/1bhlo-FHVyvSReZOWoOBvXKWitJaKEbtszC2uOaOXQfI/view
 presentation html https://docs.google.com/presentation/d/1bhlo-FHVyvSReZOWoOBvXKWitJaKEbtszC2uOaOXQfI/htmlpresent
 document https://docs.google.com/document/d/1po2hi9r8fGbthx1_VnTXYo3nEs29jNzVGPuI50ubUiQ/edit?usp=sharing
 document view https://docs.google.com/document/d/1po2hi9r8fGbthx1_VnTXYo3nEs29jNzVGPuI50ubUiQ/view
 presentation https://docs.google.com/presentation/d/1KPYplxTbTHDp1s2bya_iFvgLtO_dnoXiANUmqCwj6ek/edit?usp=sharing
 presentation view https://docs.google.com/presentation/d/1KPYplxTbTHDp1s2bya_iFvgLtO_dnoXiANUmqCwj6ek/view
 presentation html https://docs.google.com/presentation/d/1KPYplxTbTHDp1s2bya_iFvgLtO_dnoXiANUmqCwj6ek/htmlpresent
 document https://docs.google.com/document/d/1_GZC73ImG1AN6ltB-Uu9362cRjBB5WGSuSihBp0jsi0/edit?usp=sharing
</t>
      </text>
    </comment>
    <comment authorId="1" xr:uid="{01c70b53-8132-42cd-a1ae-01168fd35e1b}" ref="A1">
      <text>
        <t xml:space="preserve">[Threaded comment]
 Your version of Excel allows you to read this threaded comment; however, any edits to it will get removed if the file is opened in a newer version of Excel. Learn more: https://go.microsoft.com/fwlink/?linkid=870924
Comment:
	presentation html https://docs.google.com/presentation/d/12eZIQrSbEuR-x2q5Gv42TW4dvHsUslJA2Ftr-_aBqSw/htmlpresent
 document https://docs.google.com/document/d/19a08bLe1Xli3jxbQu1MtAJmmtmDRHU9xh5Se3K6iJTs/edit?usp=sharing
 document view https://docs.google.com/document/d/19a08bLe1Xli3jxbQu1MtAJmmtmDRHU9xh5Se3K6iJTs/view
 presentation https://docs.google.com/presentation/d/18yMHhOJf9glGtb55lrc3Rel757Xk4DEMZXsrxsR5Ieo/edit?usp=sharing
 presentation view https://docs.google.com/presentation/d/18yMHhOJf9glGtb55lrc3Rel757Xk4DEMZXsrxsR5Ieo/view
 presentation html https://docs.google.com/presentation/d/18yMHhOJf9glGtb55lrc3Rel757Xk4DEMZXsrxsR5Ieo/htmlpresent
 document https://docs.google.com/document/d/18ebvjhY7K6G-sjMkQxqV8VmgoJ3gnWUxMDxq3hRyyxY/edit?usp=sharing
 document view https://docs.google.com/document/d/18ebvjhY7K6G-sjMkQxqV8VmgoJ3gnWUxMDxq3hRyyxY/view
 presentation https://docs.google.com/presentation/d/1NvN5r0KhpKCFHWpdSRz2U0TPdhBhAdd0YeeuQOBPC-Y/edit?usp=sharing
 presentation view https://docs.google.com/presentation/d/1NvN5r0KhpKCFHWpdSRz2U0TPdhBhAdd0YeeuQOBPC-Y/view
 presentation html https://docs.google.com/presentation/d/1NvN5r0KhpKCFHWpdSRz2U0TPdhBhAdd0YeeuQOBPC-Y/htmlpresent
 document https://docs.google.com/document/d/17Kw8mIRmiXWZ4KES51sF4Gt26MpWE54ofJ5LlW-bOA4/edit?usp=sharing
 document view https://docs.google.com/document/d/17Kw8mIRmiXWZ4KES51sF4Gt26MpWE54ofJ5LlW-bOA4/view
 presentation https://docs.google.com/presentation/d/17Wivqszccf4UdDYI50omSGz9dbgLdV54tJs84lMAUoc/edit?usp=sharing
 presentation view https://docs.google.com/presentation/d/17Wivqszccf4UdDYI50omSGz9dbgLdV54tJs84lMAUoc/view
 presentation html https://docs.google.com/presentation/d/17Wivqszccf4UdDYI50omSGz9dbgLdV54tJs84lMAUoc/htmlpresent
 document https://docs.google.com/document/d/1ywMBRVEdxOV-F7DU3PmOy6EzjHxOHCPAOl4FAGTaZzs/edit?usp=sharing
 document view https://docs.google.com/document/d/1ywMBRVEdxOV-F7DU3PmOy6EzjHxOHCPAOl4FAGTaZzs/view
</t>
      </text>
    </comment>
    <comment authorId="2" xr:uid="{2b1345d6-2ab3-4807-93c8-4f0c0b85fea9}" ref="A1">
      <text>
        <t xml:space="preserve">[Threaded comment]
 Your version of Excel allows you to read this threaded comment; however, any edits to it will get removed if the file is opened in a newer version of Excel. Learn more: https://go.microsoft.com/fwlink/?linkid=870924
Comment:
	presentation https://docs.google.com/presentation/d/13uX01hscBeRAKz_M9FRIOV1jYCHCcmdb8O2J7lJFTbM/edit?usp=sharing
 presentation view https://docs.google.com/presentation/d/13uX01hscBeRAKz_M9FRIOV1jYCHCcmdb8O2J7lJFTbM/view
 presentation html https://docs.google.com/presentation/d/13uX01hscBeRAKz_M9FRIOV1jYCHCcmdb8O2J7lJFTbM/htmlpresent
 document https://docs.google.com/document/d/1yq_PUXv1CeAHZI565Pes6hkmQnG9xBghEszU60_moKM/edit?usp=sharing
 document view https://docs.google.com/document/d/1yq_PUXv1CeAHZI565Pes6hkmQnG9xBghEszU60_moKM/view
 presentation https://docs.google.com/presentation/d/1OPDPLM82uAFbVNtQxsIx1qVFwbTnYrMnkS565DYz0Kc/edit?usp=sharing
 presentation view https://docs.google.com/presentation/d/1OPDPLM82uAFbVNtQxsIx1qVFwbTnYrMnkS565DYz0Kc/view
 presentation html https://docs.google.com/presentation/d/1OPDPLM82uAFbVNtQxsIx1qVFwbTnYrMnkS565DYz0Kc/htmlpresent
 document https://docs.google.com/document/d/1W3AaeONe6UMY1zCizllJMt2p4hAB-yHY0AcaWl72yh0/edit?usp=sharing
 document view https://docs.google.com/document/d/1W3AaeONe6UMY1zCizllJMt2p4hAB-yHY0AcaWl72yh0/view
 presentation https://docs.google.com/presentation/d/1Y9zCthUvYBJfdPmah95dSrjP6-lQCZO3Z3JOPvN4HYU/edit?usp=sharing
 presentation view https://docs.google.com/presentation/d/1Y9zCthUvYBJfdPmah95dSrjP6-lQCZO3Z3JOPvN4HYU/view
 presentation html https://docs.google.com/presentation/d/1Y9zCthUvYBJfdPmah95dSrjP6-lQCZO3Z3JOPvN4HYU/htmlpresent
 photo https://drive.google.com/file/d/18vt5PhP25M88bGY6XEV72zenEpaSIp1L/view?usp=sharing
 document https://docs.google.com/document/d/1a2RSd_zzJSSIuhu6-HK_jFkuxJXSmihqXO2esmI3tRg/edit?usp=sharing
 document view https://docs.google.com/document/d/1a2RSd_zzJSSIuhu6-HK_jFkuxJXSmihqXO2esmI3tRg/view
 presentation https://docs.google.com/presentation/d/12eZIQrSbEuR-x2q5Gv42TW4dvHsUslJA2Ftr-_aBqSw/edit?usp=sharing
 presentation view https://docs.google.com/presentation/d/12eZIQrSbEuR-x2q5Gv42TW4dvHsUslJA2Ftr-_aBqSw/view
</t>
      </text>
    </comment>
    <comment authorId="3" xr:uid="{2bbf193f-250c-40e1-b478-43285af92e0b}" ref="A1">
      <text>
        <t xml:space="preserve">[Threaded comment]
 Your version of Excel allows you to read this threaded comment; however, any edits to it will get removed if the file is opened in a newer version of Excel. Learn more: https://go.microsoft.com/fwlink/?linkid=870924
Comment:
	document view https://docs.google.com/document/d/1_GZC73ImG1AN6ltB-Uu9362cRjBB5WGSuSihBp0jsi0/view
 presentation https://docs.google.com/presentation/d/1KxLpS4q8bXiOgqsPNEga9JOdcjCtAGeUDhq7PGnizYo/edit?usp=sharing
 presentation view https://docs.google.com/presentation/d/1KxLpS4q8bXiOgqsPNEga9JOdcjCtAGeUDhq7PGnizYo/view
 presentation html https://docs.google.com/presentation/d/1KxLpS4q8bXiOgqsPNEga9JOdcjCtAGeUDhq7PGnizYo/htmlpresent
 photo https://drive.google.com/file/d/1Ck6QU1d9DDpRC53UzMW8HtbqWW1KH2o9/view?usp=sharing
 document https://docs.google.com/document/d/1cHtB5rpubS-TYcBOqYbRh_PpKJNp5wb_xEYts7PjV-Q/edit?usp=sharing
 document view https://docs.google.com/document/d/1cHtB5rpubS-TYcBOqYbRh_PpKJNp5wb_xEYts7PjV-Q/view
 presentation https://docs.google.com/presentation/d/1720FmjtVpwqyEdp96C17XI-85nycDidt1PVdgyzTO74/edit?usp=sharing
 presentation view https://docs.google.com/presentation/d/1720FmjtVpwqyEdp96C17XI-85nycDidt1PVdgyzTO74/view
 presentation html https://docs.google.com/presentation/d/1720FmjtVpwqyEdp96C17XI-85nycDidt1PVdgyzTO74/htmlpresent
 document https://docs.google.com/document/d/1W100JWMHvGZhjvnu5MSzoVeEp-0m_ayaZf4v8Sp9JQc/edit?usp=sharing
 document view https://docs.google.com/document/d/1W100JWMHvGZhjvnu5MSzoVeEp-0m_ayaZf4v8Sp9JQc/view
 presentation https://docs.google.com/presentation/d/1qZcaaULQEbzhqUuo_TODrAjLLT1UXc9jvSUTgG-zmsQ/edit?usp=sharing
 presentation view https://docs.google.com/presentation/d/1qZcaaULQEbzhqUuo_TODrAjLLT1UXc9jvSUTgG-zmsQ/view
 presentation html https://docs.google.com/presentation/d/1qZcaaULQEbzhqUuo_TODrAjLLT1UXc9jvSUTgG-zmsQ/htmlpresent
 document https://docs.google.com/document/d/1isFS_XkuLo1qVb7sZndg_DX4GGjCZWwZN-B7RoQ8N9Y/edit?usp=sharing
 document view https://docs.google.com/document/d/1isFS_XkuLo1qVb7sZndg_DX4GGjCZWwZN-B7RoQ8N9Y/view
 presentation https://docs.google.com/presentation/d/1Ye_ED7N05CdPK0k350ZRMGAI6igBsHcTb1VGH9XWJVI/edit?usp=sharing
</t>
      </text>
    </comment>
    <comment authorId="4" xr:uid="{30995754-3494-4ca3-bd95-088e0336da96}" ref="A1">
      <text>
        <t xml:space="preserve">[Threaded comment]
 Your version of Excel allows you to read this threaded comment; however, any edits to it will get removed if the file is opened in a newer version of Excel. Learn more: https://go.microsoft.com/fwlink/?linkid=870924
Comment:
	HTML https://drive.google.com/file/d/1mPeyuZMcEkUh7vG-UHihpYNiI6Ar2Wzr/view?usp=sharing
</t>
      </text>
    </comment>
    <comment authorId="5" xr:uid="{601109aa-6dcf-418b-af80-4d4e1a2e6b40}" ref="A1">
      <text>
        <t xml:space="preserve">[Threaded comment]
 Your version of Excel allows you to read this threaded comment; however, any edits to it will get removed if the file is opened in a newer version of Excel. Learn more: https://go.microsoft.com/fwlink/?linkid=870924
Comment:
	presentation https://docs.google.com/presentation/d/19d-jXD1uspn-XCwdW_0OwUQEtQdZ0EJexeEWfoy9-SI/edit?usp=sharing
 presentation view https://docs.google.com/presentation/d/19d-jXD1uspn-XCwdW_0OwUQEtQdZ0EJexeEWfoy9-SI/view
 presentation html https://docs.google.com/presentation/d/19d-jXD1uspn-XCwdW_0OwUQEtQdZ0EJexeEWfoy9-SI/htmlpresent
 document https://docs.google.com/document/d/1jaU6iRX4KREwD6hTLKH4ghdHOxuU-lrIWz-j-aGc_BA/edit?usp=sharing
 document view https://docs.google.com/document/d/1jaU6iRX4KREwD6hTLKH4ghdHOxuU-lrIWz-j-aGc_BA/view
 presentation https://docs.google.com/presentation/d/1RefbJObYeu5p-9eCUaUKGEq1qXT87cpOeznA-BKwYE4/edit?usp=sharing
 presentation view https://docs.google.com/presentation/d/1RefbJObYeu5p-9eCUaUKGEq1qXT87cpOeznA-BKwYE4/view
 presentation html https://docs.google.com/presentation/d/1RefbJObYeu5p-9eCUaUKGEq1qXT87cpOeznA-BKwYE4/htmlpresent
 photo https://drive.google.com/file/d/1vhRe_DzzVQkmCC_yc_HkqOReUvAlrZMF/view?usp=sharing
 document https://docs.google.com/document/d/1ijsUh2OuZcZQEGltIekt-Vd3ig4q3DQTD3hCwsgSEZc/edit?usp=sharing
 document view https://docs.google.com/document/d/1ijsUh2OuZcZQEGltIekt-Vd3ig4q3DQTD3hCwsgSEZc/view
 presentation https://docs.google.com/presentation/d/1BfNtGOjIZz6-pV4qdqJvHRHt3nD9zs4Xg71lq-gkFNM/edit?usp=sharing
 presentation view https://docs.google.com/presentation/d/1BfNtGOjIZz6-pV4qdqJvHRHt3nD9zs4Xg71lq-gkFNM/view
 presentation html https://docs.google.com/presentation/d/1BfNtGOjIZz6-pV4qdqJvHRHt3nD9zs4Xg71lq-gkFNM/htmlpresent
 document https://docs.google.com/document/d/1w12S9gOamRovAQasfcbhbNv8mY2YiKdUbH5DBmnubuM/edit?usp=sharing
 document view https://docs.google.com/document/d/1w12S9gOamRovAQasfcbhbNv8mY2YiKdUbH5DBmnubuM/view
 presentation https://docs.google.com/presentation/d/1lWS7aBihXSD6BotlyywEY9giAcz2pwejsyHu4zNGacM/edit?usp=sharing
 presentation view https://docs.google.com/presentation/d/1lWS7aBihXSD6BotlyywEY9giAcz2pwejsyHu4zNGacM/view
</t>
      </text>
    </comment>
    <comment authorId="6" xr:uid="{98f8db85-e143-4107-ac10-5c683c2e48ce}" ref="A1">
      <text>
        <t xml:space="preserve">[Threaded comment]
 Your version of Excel allows you to read this threaded comment; however, any edits to it will get removed if the file is opened in a newer version of Excel. Learn more: https://go.microsoft.com/fwlink/?linkid=870924
Comment:
	HTML https://drive.google.com/file/d/12tFOb0UUWVkHnGh4jZ99nR8vK51SZFWX/view?usp=sharing
 HTML https://drive.google.com/file/d/1lT36zOT-SnzNcf3qhqFEqnvyW9CKse2p/view?usp=sharing
 HTML https://drive.google.com/file/d/1TfFuymZbrB0ezawRClzdx7rG3QyYmz4Q/view?usp=sharing
 HTML https://drive.google.com/file/d/1C4vlp3MpcvJpmkhXTQlElYX-I_lIppA0/view?usp=sharing
 HTML https://drive.google.com/file/d/1McmfSDd3in49MjjJNSsc-ieB4hNd5K24/view?usp=sharing
 HTML https://drive.google.com/file/d/1zgdxJ9A2tpijIrJ-quekUWXWzJKBUwTZ/view?usp=sharing
 HTML https://drive.google.com/file/d/1UFyDfdsN1b5wTc7xzzzUiZESVQcsHYzF/view?usp=sharing
 HTML https://drive.google.com/file/d/1P3GEZVvVOtK9QE_Lfq8X1v_RkgSwyPBJ/view?usp=sharing
 HTML https://drive.google.com/file/d/1jGXv8EGcBIc6m3AAgFZhjM4iJOKY3Zqg/view?usp=sharing
 HTML https://drive.google.com/file/d/1PMgmLjZAd0IV_ydMzLWqbZWyrV0YVAg9/view?usp=sharing
 HTML https://drive.google.com/file/d/1wxRPzA7JIAvnbPrqrSwjlMzluPnqrjvF/view?usp=sharing
 HTML https://drive.google.com/file/d/1Utvb5caLXeS1BC-VWcpQIZhD0FSDsILz/view?usp=sharing
 HTML https://drive.google.com/file/d/1EpEI_iTdIupFbsF305u6sCJ6sCocHpID/view?usp=sharing
 HTML https://drive.google.com/file/d/1PZmYi3fbYE3LA1-d2Z4QdB24vAn4BO3q/view?usp=sharing
 HTML https://drive.google.com/file/d/1oi2_F_e0Tfp6AGqBySNJVAYSsPJYEx3p/view?usp=sharing
</t>
      </text>
    </comment>
    <comment authorId="7" xr:uid="{a991c1b0-2f5e-4cce-80a2-4ab8f1a2d544}" ref="A1">
      <text>
        <t xml:space="preserve">[Threaded comment]
 Your version of Excel allows you to read this threaded comment; however, any edits to it will get removed if the file is opened in a newer version of Excel. Learn more: https://go.microsoft.com/fwlink/?linkid=870924
Comment:
	target url https://sites.google.com/luckyfrogphotos.com/brand-activation-silicon-beach/tech-activation-los-angeles
 folder top https://drive.google.com/drive/folders/1V0uy7wgFoIyogwpxX6VGfSe-ix1AwZDk?usp=sharing
 rss feed https://news.google.com/rss/search?q=photobooth
 folder articles https://drive.google.com/drive/folders/1wV47u9eGA9lzu0Ttr32cFU_VGhpxnz7-?usp=sharing
 folder photos https://drive.google.com/drive/folders/1CVXD8Jq21WruVp3unel8gg4uW7r0ZANx?usp=sharing
 folder pdfs https://drive.google.com/drive/folders/1zdfAACdfwWL0LloSopCytBC6QM4-QcSn?usp=sharing
 folder slides https://drive.google.com/drive/folders/1F--GHqxMcoyF3C4q2T5cpnZVK27cTzk5?usp=sharing
 photo https://drive.google.com/file/d/1vOOZNTuVelT3hJknH2TwT7pDxoq-_vxT/view?usp=sharing
 photo https://drive.google.com/file/d/1vlBfbcfKonCpshhPIaw04sNOKvV3Bjni/view?usp=sharing
 spreadsheet https://docs.google.com/spreadsheets/d/1FR8mAHuzSpYw2w8x9c_-Om4hSJtsUgK2gmHDXtFQ_-8/edit?usp=sharing
 spreadsheet pubhtml https://docs.google.com/spreadsheets/d/1FR8mAHuzSpYw2w8x9c_-Om4hSJtsUgK2gmHDXtFQ_-8/view
 form https://docs.google.com/forms/d/1rxIWZTdIK8bvqre67AQNp7JtaxAL57OaIj0OK4DPRjA/edit?usp=sharing
 drawing https://docs.google.com/drawings/d/1nStXElJT6kGPgdrpgFbRgqnQP_337lftwZ-c4ZeP_t4/edit?usp=sharing
 document https://docs.google.com/document/d/11YtELvbTGA-SUK76Wh8rLArWYylNL2auxNbYsCAt5l0/edit?usp=sharing
 document view https://docs.google.com/document/d/11YtELvbTGA-SUK76Wh8rLArWYylNL2auxNbYsCAt5l0/view
 presentation https://docs.google.com/presentation/d/1zixMLgT_-DAbZt4TV9PHXbBP9yJz2QvuiQBroElOLPU/edit?usp=sharing
 presentation view https://docs.google.com/presentation/d/1zixMLgT_-DAbZt4TV9PHXbBP9yJz2QvuiQBroElOLPU/view
 presentation html https://docs.google.com/presentation/d/1zixMLgT_-DAbZt4TV9PHXbBP9yJz2QvuiQBroElOLPU/htmlpresent
 calendar https://calendar.google.com/calendar/embed?src=425bca2c39c0f81b83db72a0330c672c7d3ebada9c9880bc7526b664317f4657@group.calendar.google.com
</t>
      </text>
    </comment>
    <comment authorId="8" xr:uid="{bb2adadb-6018-4cb6-bd10-3ba7d96d04f2}" ref="A1">
      <text>
        <t xml:space="preserve">[Threaded comment]
 Your version of Excel allows you to read this threaded comment; however, any edits to it will get removed if the file is opened in a newer version of Excel. Learn more: https://go.microsoft.com/fwlink/?linkid=870924
Comment:
	Calendar - All Day Event https://www.google.com/calendar/event?eid=YnUyZDk2OG1xdmYwYTJpNjVsN25wMWozdmsgNDI1YmNhMmMzOWMwZjgxYjgzZGI3MmEwMzMwYzY3MmM3ZDNlYmFkYTljOTg4MGJjNzUyNmI2NjQzMTdmNDY1N0Bncm91cC5jYWxlbmRhci5nb29nbGUuY29t
 Calendar - All Day Event https://www.google.com/calendar/event?eid=YzdvMDl0MnNuMG1yZWtvYzR0cHBmbGdoaWMgNDI1YmNhMmMzOWMwZjgxYjgzZGI3MmEwMzMwYzY3MmM3ZDNlYmFkYTljOTg4MGJjNzUyNmI2NjQzMTdmNDY1N0Bncm91cC5jYWxlbmRhci5nb29nbGUuY29t
 Calendar - All Day Event https://www.google.com/calendar/event?eid=cnI5Ym1idXFyZmMxdGR0MWRsMzZrbWttZmsgNDI1YmNhMmMzOWMwZjgxYjgzZGI3MmEwMzMwYzY3MmM3ZDNlYmFkYTljOTg4MGJjNzUyNmI2NjQzMTdmNDY1N0Bncm91cC5jYWxlbmRhci5nb29nbGUuY29t
 Calendar - All Day Event https://www.google.com/calendar/event?eid=bnBhODdsMG01bXVzM3BhN2c0YTcwNnBlYWcgNDI1YmNhMmMzOWMwZjgxYjgzZGI3MmEwMzMwYzY3MmM3ZDNlYmFkYTljOTg4MGJjNzUyNmI2NjQzMTdmNDY1N0Bncm91cC5jYWxlbmRhci5nb29nbGUuY29t
 sheet https://docs.google.com/spreadsheets/d/1FR8mAHuzSpYw2w8x9c_-Om4hSJtsUgK2gmHDXtFQ_-8/edit#gid=0
 sheet https://docs.google.com/spreadsheets/d/1FR8mAHuzSpYw2w8x9c_-Om4hSJtsUgK2gmHDXtFQ_-8/edit#gid=1153714324
 sheet https://docs.google.com/spreadsheets/d/1FR8mAHuzSpYw2w8x9c_-Om4hSJtsUgK2gmHDXtFQ_-8/edit#gid=671564452
 sheet https://docs.google.com/spreadsheets/d/1FR8mAHuzSpYw2w8x9c_-Om4hSJtsUgK2gmHDXtFQ_-8/edit#gid=1710575977
 sheet https://docs.google.com/spreadsheets/d/1FR8mAHuzSpYw2w8x9c_-Om4hSJtsUgK2gmHDXtFQ_-8/edit#gid=956835089
 folder Microsoft Files https://drive.google.com/drive/folders/1ZhAfZq83RHNjhk-uPAXl20T9Sq2mt6Hg?usp=sharing
 photo https://drive.google.com/file/d/1X_veMGreiwUGnXFkDv4OwAkCHxQy9faq/view?usp=sharing
 photo https://drive.google.com/file/d/1qDRezGc6S-GXO1Ums-z58A4tZj8QfUxZ/view?usp=sharing
 document https://docs.google.com/document/d/1JdOqL617yy-da-wo9--A6OhNMYfe3hp0eSTk_Ixp_U0/edit?usp=sharing
 document view https://docs.google.com/document/d/1JdOqL617yy-da-wo9--A6OhNMYfe3hp0eSTk_Ixp_U0/view
</t>
      </text>
    </comment>
    <comment authorId="9" xr:uid="{d64b43c7-4dcd-4f70-bf63-322450abe1d5}" ref="A1">
      <text>
        <t xml:space="preserve">[Threaded comment]
 Your version of Excel allows you to read this threaded comment; however, any edits to it will get removed if the file is opened in a newer version of Excel. Learn more: https://go.microsoft.com/fwlink/?linkid=870924
Comment:
	Calendar - All Day Event https://www.google.com/calendar/event?eid=cHRtZGE5cjg2bHBxZjM3anIwcDdrNTRnNmsgNDI1YmNhMmMzOWMwZjgxYjgzZGI3MmEwMzMwYzY3MmM3ZDNlYmFkYTljOTg4MGJjNzUyNmI2NjQzMTdmNDY1N0Bncm91cC5jYWxlbmRhci5nb29nbGUuY29t
 Calendar - All Day Event https://www.google.com/calendar/event?eid=dnBqc2JibHVsNDdlb3NrMXExcXA4M3IyNzQgNDI1YmNhMmMzOWMwZjgxYjgzZGI3MmEwMzMwYzY3MmM3ZDNlYmFkYTljOTg4MGJjNzUyNmI2NjQzMTdmNDY1N0Bncm91cC5jYWxlbmRhci5nb29nbGUuY29t
 Calendar - All Day Event https://www.google.com/calendar/event?eid=YzhicWc3bmRuNThqdnA3YjJjN3RxcGtoNmcgNDI1YmNhMmMzOWMwZjgxYjgzZGI3MmEwMzMwYzY3MmM3ZDNlYmFkYTljOTg4MGJjNzUyNmI2NjQzMTdmNDY1N0Bncm91cC5jYWxlbmRhci5nb29nbGUuY29t
 Calendar - All Day Event https://www.google.com/calendar/event?eid=ZWpsMDdranNmNzgzMGk1ZTBzb3BocmRrMzggNDI1YmNhMmMzOWMwZjgxYjgzZGI3MmEwMzMwYzY3MmM3ZDNlYmFkYTljOTg4MGJjNzUyNmI2NjQzMTdmNDY1N0Bncm91cC5jYWxlbmRhci5nb29nbGUuY29t
 Calendar - All Day Event https://www.google.com/calendar/event?eid=c3IzaDMzNjk1Z2wxNWI2cms3YnFybHI3bDggNDI1YmNhMmMzOWMwZjgxYjgzZGI3MmEwMzMwYzY3MmM3ZDNlYmFkYTljOTg4MGJjNzUyNmI2NjQzMTdmNDY1N0Bncm91cC5jYWxlbmRhci5nb29nbGUuY29t
 Calendar - All Day Event https://www.google.com/calendar/event?eid=YzhvcW4zdDBncThlOTlkdnVhYmpsYm9pZmcgNDI1YmNhMmMzOWMwZjgxYjgzZGI3MmEwMzMwYzY3MmM3ZDNlYmFkYTljOTg4MGJjNzUyNmI2NjQzMTdmNDY1N0Bncm91cC5jYWxlbmRhci5nb29nbGUuY29t
 Calendar - All Day Event https://www.google.com/calendar/event?eid=ZjFrb2plaTJsODY0MXVnNmZhMmwwbWNwMjAgNDI1YmNhMmMzOWMwZjgxYjgzZGI3MmEwMzMwYzY3MmM3ZDNlYmFkYTljOTg4MGJjNzUyNmI2NjQzMTdmNDY1N0Bncm91cC5jYWxlbmRhci5nb29nbGUuY29t
 Calendar - All Day Event https://www.google.com/calendar/event?eid=Y3BvNzJsMWcwODdiMTI4YTBtamI2ajcxZWsgNDI1YmNhMmMzOWMwZjgxYjgzZGI3MmEwMzMwYzY3MmM3ZDNlYmFkYTljOTg4MGJjNzUyNmI2NjQzMTdmNDY1N0Bncm91cC5jYWxlbmRhci5nb29nbGUuY29t
 Calendar - All Day Event https://www.google.com/calendar/event?eid=NWdzMGo0ZG5haTE3bXUwcTh0bG1oYnNqZGsgNDI1YmNhMmMzOWMwZjgxYjgzZGI3MmEwMzMwYzY3MmM3ZDNlYmFkYTljOTg4MGJjNzUyNmI2NjQzMTdmNDY1N0Bncm91cC5jYWxlbmRhci5nb29nbGUuY29t
</t>
      </text>
    </comment>
    <comment authorId="10" xr:uid="{f57b9cc4-5e7d-4313-b33c-43f20e3ac0cd}" ref="A1">
      <text>
        <t xml:space="preserve">[Threaded comment]
 Your version of Excel allows you to read this threaded comment; however, any edits to it will get removed if the file is opened in a newer version of Excel. Learn more: https://go.microsoft.com/fwlink/?linkid=870924
Comment:
	presentation view https://docs.google.com/presentation/d/1Ye_ED7N05CdPK0k350ZRMGAI6igBsHcTb1VGH9XWJVI/view
 presentation html https://docs.google.com/presentation/d/1Ye_ED7N05CdPK0k350ZRMGAI6igBsHcTb1VGH9XWJVI/htmlpresent
 photo https://drive.google.com/file/d/1hlgZVFJ3V3V-ERCUaCNvJw98H_luDtzC/view?usp=sharing
 document https://docs.google.com/document/d/1MKc54RBVYXRZOu8W1gmeBcxcFkp23F8AjO12b79rQZM/edit?usp=sharing
 document view https://docs.google.com/document/d/1MKc54RBVYXRZOu8W1gmeBcxcFkp23F8AjO12b79rQZM/view
 presentation https://docs.google.com/presentation/d/1ODwg4Dhl_C7BltMqgWMZExoL3KWm7ixlWwt4Hl6kOYA/edit?usp=sharing
 presentation view https://docs.google.com/presentation/d/1ODwg4Dhl_C7BltMqgWMZExoL3KWm7ixlWwt4Hl6kOYA/view
 presentation html https://docs.google.com/presentation/d/1ODwg4Dhl_C7BltMqgWMZExoL3KWm7ixlWwt4Hl6kOYA/htmlpresent
 document https://docs.google.com/document/d/1N_WmnXk_EKrmi--waoyp9BL8DzcU3hXPOsPLIhPyqQI/edit?usp=sharing
 document view https://docs.google.com/document/d/1N_WmnXk_EKrmi--waoyp9BL8DzcU3hXPOsPLIhPyqQI/view
 presentation https://docs.google.com/presentation/d/1Gx5m3qh53cq8CG9jhSO1RgNzwltLY-5pM-LkN-fIgl8/edit?usp=sharing
 presentation view https://docs.google.com/presentation/d/1Gx5m3qh53cq8CG9jhSO1RgNzwltLY-5pM-LkN-fIgl8/view
 presentation html https://docs.google.com/presentation/d/1Gx5m3qh53cq8CG9jhSO1RgNzwltLY-5pM-LkN-fIgl8/htmlpresent
 folder HTML https://drive.google.com/drive/folders/1tZK-JKJU6Yjk13Enn-2Jz_xmPiFwm78D?usp=sharing
 HTML https://drive.google.com/file/d/1rhLRcFQLhxybwgZaYUQgqLiM6lulcmHK/view?usp=sharing
 HTML https://drive.google.com/file/d/1BBSXXhq8Qw8NWfR--eVuEr7GMLsUyV0g/view?usp=sharing
 HTML https://drive.google.com/file/d/1UPz6hru1gGcsayMKqBjsD5ReXlmF1YzR/view?usp=sharing
 HTML https://drive.google.com/file/d/1tJ5xXBvyMHLHfGoBXkWpZQ5BvKrFJ3Ls/view?usp=sharing
 HTML https://drive.google.com/file/d/1BuI3yse4X25mwZu8IBaRxlJduqznU3In/view?usp=sharing
</t>
      </text>
    </comment>
  </commentList>
</comments>
</file>

<file path=xl/sharedStrings.xml><?xml version="1.0" encoding="utf-8"?>
<sst xmlns="http://schemas.openxmlformats.org/spreadsheetml/2006/main" count="1814" uniqueCount="848">
  <si>
    <t>target url</t>
  </si>
  <si>
    <t>The Beverly Hills Hotel Event Marketing</t>
  </si>
  <si>
    <t>https://sites.google.com/luckyfrogphotos.com/brand-activation-silicon-beach/tech-activation-los-angeles</t>
  </si>
  <si>
    <t>folder top</t>
  </si>
  <si>
    <t>https://drive.google.com/drive/folders/1V0uy7wgFoIyogwpxX6VGfSe-ix1AwZDk?usp=sharing</t>
  </si>
  <si>
    <t>rss feed</t>
  </si>
  <si>
    <t>https://news.google.com/rss/search?q=photobooth</t>
  </si>
  <si>
    <t>folder articles</t>
  </si>
  <si>
    <t>The Beverly Hills Hotel Event Marketing Articles</t>
  </si>
  <si>
    <t>https://drive.google.com/drive/folders/1wV47u9eGA9lzu0Ttr32cFU_VGhpxnz7-?usp=sharing</t>
  </si>
  <si>
    <t>folder photos</t>
  </si>
  <si>
    <t>The Beverly Hills Hotel Event Marketing Photos</t>
  </si>
  <si>
    <t>https://drive.google.com/drive/folders/1CVXD8Jq21WruVp3unel8gg4uW7r0ZANx?usp=sharing</t>
  </si>
  <si>
    <t>folder pdfs</t>
  </si>
  <si>
    <t>The Beverly Hills Hotel Event Marketing PDFs</t>
  </si>
  <si>
    <t>https://drive.google.com/drive/folders/1zdfAACdfwWL0LloSopCytBC6QM4-QcSn?usp=sharing</t>
  </si>
  <si>
    <t>folder slides</t>
  </si>
  <si>
    <t>The Beverly Hills Hotel Event Marketing Slides</t>
  </si>
  <si>
    <t>https://drive.google.com/drive/folders/1F--GHqxMcoyF3C4q2T5cpnZVK27cTzk5?usp=sharing</t>
  </si>
  <si>
    <t>photo</t>
  </si>
  <si>
    <t>https://drive.google.com/file/d/1vOOZNTuVelT3hJknH2TwT7pDxoq-_vxT/view?usp=sharing</t>
  </si>
  <si>
    <t>https://drive.google.com/file/d/1vlBfbcfKonCpshhPIaw04sNOKvV3Bjni/view?usp=sharing</t>
  </si>
  <si>
    <t>spreadsheet</t>
  </si>
  <si>
    <t>https://docs.google.com/spreadsheets/d/1FR8mAHuzSpYw2w8x9c_-Om4hSJtsUgK2gmHDXtFQ_-8/edit?usp=sharing</t>
  </si>
  <si>
    <t>spreadsheet pubhtml</t>
  </si>
  <si>
    <t>The Beverly Hills Hotel Event Marketing pubhtml</t>
  </si>
  <si>
    <t>https://docs.google.com/spreadsheets/d/1FR8mAHuzSpYw2w8x9c_-Om4hSJtsUgK2gmHDXtFQ_-8/view</t>
  </si>
  <si>
    <t>form</t>
  </si>
  <si>
    <t>https://docs.google.com/forms/d/1rxIWZTdIK8bvqre67AQNp7JtaxAL57OaIj0OK4DPRjA/edit?usp=sharing</t>
  </si>
  <si>
    <t>drawing</t>
  </si>
  <si>
    <t>https://docs.google.com/drawings/d/1nStXElJT6kGPgdrpgFbRgqnQP_337lftwZ-c4ZeP_t4/edit?usp=sharing</t>
  </si>
  <si>
    <t>document</t>
  </si>
  <si>
    <t>https://docs.google.com/document/d/11YtELvbTGA-SUK76Wh8rLArWYylNL2auxNbYsCAt5l0/edit?usp=sharing</t>
  </si>
  <si>
    <t>document view</t>
  </si>
  <si>
    <t>The Beverly Hills Hotel Event Marketing view</t>
  </si>
  <si>
    <t>https://docs.google.com/document/d/11YtELvbTGA-SUK76Wh8rLArWYylNL2auxNbYsCAt5l0/view</t>
  </si>
  <si>
    <t>presentation</t>
  </si>
  <si>
    <t>https://docs.google.com/presentation/d/1zixMLgT_-DAbZt4TV9PHXbBP9yJz2QvuiQBroElOLPU/edit?usp=sharing</t>
  </si>
  <si>
    <t>presentation view</t>
  </si>
  <si>
    <t>https://docs.google.com/presentation/d/1zixMLgT_-DAbZt4TV9PHXbBP9yJz2QvuiQBroElOLPU/view</t>
  </si>
  <si>
    <t>presentation html</t>
  </si>
  <si>
    <t>The Beverly Hills Hotel Event Marketing html</t>
  </si>
  <si>
    <t>https://docs.google.com/presentation/d/1zixMLgT_-DAbZt4TV9PHXbBP9yJz2QvuiQBroElOLPU/htmlpresent</t>
  </si>
  <si>
    <t>calendar</t>
  </si>
  <si>
    <t>Calendar - The Beverly Hills Hotel Event Marketing</t>
  </si>
  <si>
    <t>https://calendar.google.com/calendar/embed?src=425bca2c39c0f81b83db72a0330c672c7d3ebada9c9880bc7526b664317f4657@group.calendar.google.com</t>
  </si>
  <si>
    <t>Calendar - All Day Event</t>
  </si>
  <si>
    <t>Calendar - The Beverly Hills Hotel Event Marketing - Event</t>
  </si>
  <si>
    <t>https://www.google.com/calendar/event?eid=cHRtZGE5cjg2bHBxZjM3anIwcDdrNTRnNmsgNDI1YmNhMmMzOWMwZjgxYjgzZGI3MmEwMzMwYzY3MmM3ZDNlYmFkYTljOTg4MGJjNzUyNmI2NjQzMTdmNDY1N0Bncm91cC5jYWxlbmRhci5nb29nbGUuY29t</t>
  </si>
  <si>
    <t>https://www.google.com/calendar/event?eid=dnBqc2JibHVsNDdlb3NrMXExcXA4M3IyNzQgNDI1YmNhMmMzOWMwZjgxYjgzZGI3MmEwMzMwYzY3MmM3ZDNlYmFkYTljOTg4MGJjNzUyNmI2NjQzMTdmNDY1N0Bncm91cC5jYWxlbmRhci5nb29nbGUuY29t</t>
  </si>
  <si>
    <t>https://www.google.com/calendar/event?eid=YzhicWc3bmRuNThqdnA3YjJjN3RxcGtoNmcgNDI1YmNhMmMzOWMwZjgxYjgzZGI3MmEwMzMwYzY3MmM3ZDNlYmFkYTljOTg4MGJjNzUyNmI2NjQzMTdmNDY1N0Bncm91cC5jYWxlbmRhci5nb29nbGUuY29t</t>
  </si>
  <si>
    <t>https://www.google.com/calendar/event?eid=ZWpsMDdranNmNzgzMGk1ZTBzb3BocmRrMzggNDI1YmNhMmMzOWMwZjgxYjgzZGI3MmEwMzMwYzY3MmM3ZDNlYmFkYTljOTg4MGJjNzUyNmI2NjQzMTdmNDY1N0Bncm91cC5jYWxlbmRhci5nb29nbGUuY29t</t>
  </si>
  <si>
    <t>https://www.google.com/calendar/event?eid=c3IzaDMzNjk1Z2wxNWI2cms3YnFybHI3bDggNDI1YmNhMmMzOWMwZjgxYjgzZGI3MmEwMzMwYzY3MmM3ZDNlYmFkYTljOTg4MGJjNzUyNmI2NjQzMTdmNDY1N0Bncm91cC5jYWxlbmRhci5nb29nbGUuY29t</t>
  </si>
  <si>
    <t>https://www.google.com/calendar/event?eid=YzhvcW4zdDBncThlOTlkdnVhYmpsYm9pZmcgNDI1YmNhMmMzOWMwZjgxYjgzZGI3MmEwMzMwYzY3MmM3ZDNlYmFkYTljOTg4MGJjNzUyNmI2NjQzMTdmNDY1N0Bncm91cC5jYWxlbmRhci5nb29nbGUuY29t</t>
  </si>
  <si>
    <t>https://www.google.com/calendar/event?eid=ZjFrb2plaTJsODY0MXVnNmZhMmwwbWNwMjAgNDI1YmNhMmMzOWMwZjgxYjgzZGI3MmEwMzMwYzY3MmM3ZDNlYmFkYTljOTg4MGJjNzUyNmI2NjQzMTdmNDY1N0Bncm91cC5jYWxlbmRhci5nb29nbGUuY29t</t>
  </si>
  <si>
    <t>https://www.google.com/calendar/event?eid=Y3BvNzJsMWcwODdiMTI4YTBtamI2ajcxZWsgNDI1YmNhMmMzOWMwZjgxYjgzZGI3MmEwMzMwYzY3MmM3ZDNlYmFkYTljOTg4MGJjNzUyNmI2NjQzMTdmNDY1N0Bncm91cC5jYWxlbmRhci5nb29nbGUuY29t</t>
  </si>
  <si>
    <t>https://www.google.com/calendar/event?eid=NWdzMGo0ZG5haTE3bXUwcTh0bG1oYnNqZGsgNDI1YmNhMmMzOWMwZjgxYjgzZGI3MmEwMzMwYzY3MmM3ZDNlYmFkYTljOTg4MGJjNzUyNmI2NjQzMTdmNDY1N0Bncm91cC5jYWxlbmRhci5nb29nbGUuY29t</t>
  </si>
  <si>
    <t>https://www.google.com/calendar/event?eid=YnUyZDk2OG1xdmYwYTJpNjVsN25wMWozdmsgNDI1YmNhMmMzOWMwZjgxYjgzZGI3MmEwMzMwYzY3MmM3ZDNlYmFkYTljOTg4MGJjNzUyNmI2NjQzMTdmNDY1N0Bncm91cC5jYWxlbmRhci5nb29nbGUuY29t</t>
  </si>
  <si>
    <t>https://www.google.com/calendar/event?eid=YzdvMDl0MnNuMG1yZWtvYzR0cHBmbGdoaWMgNDI1YmNhMmMzOWMwZjgxYjgzZGI3MmEwMzMwYzY3MmM3ZDNlYmFkYTljOTg4MGJjNzUyNmI2NjQzMTdmNDY1N0Bncm91cC5jYWxlbmRhci5nb29nbGUuY29t</t>
  </si>
  <si>
    <t>https://www.google.com/calendar/event?eid=cnI5Ym1idXFyZmMxdGR0MWRsMzZrbWttZmsgNDI1YmNhMmMzOWMwZjgxYjgzZGI3MmEwMzMwYzY3MmM3ZDNlYmFkYTljOTg4MGJjNzUyNmI2NjQzMTdmNDY1N0Bncm91cC5jYWxlbmRhci5nb29nbGUuY29t</t>
  </si>
  <si>
    <t>https://www.google.com/calendar/event?eid=bnBhODdsMG01bXVzM3BhN2c0YTcwNnBlYWcgNDI1YmNhMmMzOWMwZjgxYjgzZGI3MmEwMzMwYzY3MmM3ZDNlYmFkYTljOTg4MGJjNzUyNmI2NjQzMTdmNDY1N0Bncm91cC5jYWxlbmRhci5nb29nbGUuY29t</t>
  </si>
  <si>
    <t>sheet</t>
  </si>
  <si>
    <t>Sheet1</t>
  </si>
  <si>
    <t>https://docs.google.com/spreadsheets/d/1FR8mAHuzSpYw2w8x9c_-Om4hSJtsUgK2gmHDXtFQ_-8/edit#gid=0</t>
  </si>
  <si>
    <t>Keywords</t>
  </si>
  <si>
    <t>https://docs.google.com/spreadsheets/d/1FR8mAHuzSpYw2w8x9c_-Om4hSJtsUgK2gmHDXtFQ_-8/edit#gid=1153714324</t>
  </si>
  <si>
    <t>Content</t>
  </si>
  <si>
    <t>https://docs.google.com/spreadsheets/d/1FR8mAHuzSpYw2w8x9c_-Om4hSJtsUgK2gmHDXtFQ_-8/edit#gid=671564452</t>
  </si>
  <si>
    <t>Calendar Events</t>
  </si>
  <si>
    <t>https://docs.google.com/spreadsheets/d/1FR8mAHuzSpYw2w8x9c_-Om4hSJtsUgK2gmHDXtFQ_-8/edit#gid=1710575977</t>
  </si>
  <si>
    <t>RSS Feeds</t>
  </si>
  <si>
    <t>https://docs.google.com/spreadsheets/d/1FR8mAHuzSpYw2w8x9c_-Om4hSJtsUgK2gmHDXtFQ_-8/edit#gid=956835089</t>
  </si>
  <si>
    <t>folder Microsoft Files</t>
  </si>
  <si>
    <t>The Beverly Hills Hotel Event Marketing MSFT</t>
  </si>
  <si>
    <t>https://drive.google.com/drive/folders/1ZhAfZq83RHNjhk-uPAXl20T9Sq2mt6Hg?usp=sharing</t>
  </si>
  <si>
    <t>Waldorf Astoria Beverly Hills Photo</t>
  </si>
  <si>
    <t>https://drive.google.com/file/d/1X_veMGreiwUGnXFkDv4OwAkCHxQy9faq/view?usp=sharing</t>
  </si>
  <si>
    <t>Chateau Marmont Event Photography</t>
  </si>
  <si>
    <t>https://drive.google.com/file/d/1qDRezGc6S-GXO1Ums-z58A4tZj8QfUxZ/view?usp=sharing</t>
  </si>
  <si>
    <t>https://docs.google.com/document/d/1JdOqL617yy-da-wo9--A6OhNMYfe3hp0eSTk_Ixp_U0/edit?usp=sharing</t>
  </si>
  <si>
    <t>Waldorf Astoria Beverly Hills Photo view</t>
  </si>
  <si>
    <t>https://docs.google.com/document/d/1JdOqL617yy-da-wo9--A6OhNMYfe3hp0eSTk_Ixp_U0/view</t>
  </si>
  <si>
    <t>https://docs.google.com/presentation/d/13uX01hscBeRAKz_M9FRIOV1jYCHCcmdb8O2J7lJFTbM/edit?usp=sharing</t>
  </si>
  <si>
    <t>https://docs.google.com/presentation/d/13uX01hscBeRAKz_M9FRIOV1jYCHCcmdb8O2J7lJFTbM/view</t>
  </si>
  <si>
    <t>Waldorf Astoria Beverly Hills Photo html</t>
  </si>
  <si>
    <t>https://docs.google.com/presentation/d/13uX01hscBeRAKz_M9FRIOV1jYCHCcmdb8O2J7lJFTbM/htmlpresent</t>
  </si>
  <si>
    <t>The Maybourne Beverly Hills Marketing</t>
  </si>
  <si>
    <t>https://docs.google.com/document/d/1yq_PUXv1CeAHZI565Pes6hkmQnG9xBghEszU60_moKM/edit?usp=sharing</t>
  </si>
  <si>
    <t>The Maybourne Beverly Hills Marketing view</t>
  </si>
  <si>
    <t>https://docs.google.com/document/d/1yq_PUXv1CeAHZI565Pes6hkmQnG9xBghEszU60_moKM/view</t>
  </si>
  <si>
    <t>https://docs.google.com/presentation/d/1OPDPLM82uAFbVNtQxsIx1qVFwbTnYrMnkS565DYz0Kc/edit?usp=sharing</t>
  </si>
  <si>
    <t>https://docs.google.com/presentation/d/1OPDPLM82uAFbVNtQxsIx1qVFwbTnYrMnkS565DYz0Kc/view</t>
  </si>
  <si>
    <t>The Maybourne Beverly Hills Marketing html</t>
  </si>
  <si>
    <t>https://docs.google.com/presentation/d/1OPDPLM82uAFbVNtQxsIx1qVFwbTnYrMnkS565DYz0Kc/htmlpresent</t>
  </si>
  <si>
    <t>https://docs.google.com/document/d/1W3AaeONe6UMY1zCizllJMt2p4hAB-yHY0AcaWl72yh0/edit?usp=sharing</t>
  </si>
  <si>
    <t>Chateau Marmont Event Photography view</t>
  </si>
  <si>
    <t>https://docs.google.com/document/d/1W3AaeONe6UMY1zCizllJMt2p4hAB-yHY0AcaWl72yh0/view</t>
  </si>
  <si>
    <t>https://docs.google.com/presentation/d/1Y9zCthUvYBJfdPmah95dSrjP6-lQCZO3Z3JOPvN4HYU/edit?usp=sharing</t>
  </si>
  <si>
    <t>https://docs.google.com/presentation/d/1Y9zCthUvYBJfdPmah95dSrjP6-lQCZO3Z3JOPvN4HYU/view</t>
  </si>
  <si>
    <t>Chateau Marmont Event Photography html</t>
  </si>
  <si>
    <t>https://docs.google.com/presentation/d/1Y9zCthUvYBJfdPmah95dSrjP6-lQCZO3Z3JOPvN4HYU/htmlpresent</t>
  </si>
  <si>
    <t>The London West Hollywood Photography</t>
  </si>
  <si>
    <t>https://drive.google.com/file/d/18vt5PhP25M88bGY6XEV72zenEpaSIp1L/view?usp=sharing</t>
  </si>
  <si>
    <t>Soho House West Hollywood Marketing</t>
  </si>
  <si>
    <t>https://docs.google.com/document/d/1a2RSd_zzJSSIuhu6-HK_jFkuxJXSmihqXO2esmI3tRg/edit?usp=sharing</t>
  </si>
  <si>
    <t>Soho House West Hollywood Marketing view</t>
  </si>
  <si>
    <t>https://docs.google.com/document/d/1a2RSd_zzJSSIuhu6-HK_jFkuxJXSmihqXO2esmI3tRg/view</t>
  </si>
  <si>
    <t>https://docs.google.com/presentation/d/12eZIQrSbEuR-x2q5Gv42TW4dvHsUslJA2Ftr-_aBqSw/edit?usp=sharing</t>
  </si>
  <si>
    <t>https://docs.google.com/presentation/d/12eZIQrSbEuR-x2q5Gv42TW4dvHsUslJA2Ftr-_aBqSw/view</t>
  </si>
  <si>
    <t>Soho House West Hollywood Marketing html</t>
  </si>
  <si>
    <t>https://docs.google.com/presentation/d/12eZIQrSbEuR-x2q5Gv42TW4dvHsUslJA2Ftr-_aBqSw/htmlpresent</t>
  </si>
  <si>
    <t>Greystone Mansion Photo Marketing</t>
  </si>
  <si>
    <t>https://docs.google.com/document/d/19a08bLe1Xli3jxbQu1MtAJmmtmDRHU9xh5Se3K6iJTs/edit?usp=sharing</t>
  </si>
  <si>
    <t>Greystone Mansion Photo Marketing view</t>
  </si>
  <si>
    <t>https://docs.google.com/document/d/19a08bLe1Xli3jxbQu1MtAJmmtmDRHU9xh5Se3K6iJTs/view</t>
  </si>
  <si>
    <t>https://docs.google.com/presentation/d/18yMHhOJf9glGtb55lrc3Rel757Xk4DEMZXsrxsR5Ieo/edit?usp=sharing</t>
  </si>
  <si>
    <t>https://docs.google.com/presentation/d/18yMHhOJf9glGtb55lrc3Rel757Xk4DEMZXsrxsR5Ieo/view</t>
  </si>
  <si>
    <t>Greystone Mansion Photo Marketing html</t>
  </si>
  <si>
    <t>https://docs.google.com/presentation/d/18yMHhOJf9glGtb55lrc3Rel757Xk4DEMZXsrxsR5Ieo/htmlpresent</t>
  </si>
  <si>
    <t>https://docs.google.com/document/d/18ebvjhY7K6G-sjMkQxqV8VmgoJ3gnWUxMDxq3hRyyxY/edit?usp=sharing</t>
  </si>
  <si>
    <t>The London West Hollywood Photography view</t>
  </si>
  <si>
    <t>https://docs.google.com/document/d/18ebvjhY7K6G-sjMkQxqV8VmgoJ3gnWUxMDxq3hRyyxY/view</t>
  </si>
  <si>
    <t>https://docs.google.com/presentation/d/1NvN5r0KhpKCFHWpdSRz2U0TPdhBhAdd0YeeuQOBPC-Y/edit?usp=sharing</t>
  </si>
  <si>
    <t>https://docs.google.com/presentation/d/1NvN5r0KhpKCFHWpdSRz2U0TPdhBhAdd0YeeuQOBPC-Y/view</t>
  </si>
  <si>
    <t>The London West Hollywood Photography html</t>
  </si>
  <si>
    <t>https://docs.google.com/presentation/d/1NvN5r0KhpKCFHWpdSRz2U0TPdhBhAdd0YeeuQOBPC-Y/htmlpresent</t>
  </si>
  <si>
    <t>Hammer Museum Event Photography</t>
  </si>
  <si>
    <t>https://docs.google.com/document/d/17Kw8mIRmiXWZ4KES51sF4Gt26MpWE54ofJ5LlW-bOA4/edit?usp=sharing</t>
  </si>
  <si>
    <t>Hammer Museum Event Photography view</t>
  </si>
  <si>
    <t>https://docs.google.com/document/d/17Kw8mIRmiXWZ4KES51sF4Gt26MpWE54ofJ5LlW-bOA4/view</t>
  </si>
  <si>
    <t>https://docs.google.com/presentation/d/17Wivqszccf4UdDYI50omSGz9dbgLdV54tJs84lMAUoc/edit?usp=sharing</t>
  </si>
  <si>
    <t>https://docs.google.com/presentation/d/17Wivqszccf4UdDYI50omSGz9dbgLdV54tJs84lMAUoc/view</t>
  </si>
  <si>
    <t>Hammer Museum Event Photography html</t>
  </si>
  <si>
    <t>https://docs.google.com/presentation/d/17Wivqszccf4UdDYI50omSGz9dbgLdV54tJs84lMAUoc/htmlpresent</t>
  </si>
  <si>
    <t>Skirball Cultural Center Marketing</t>
  </si>
  <si>
    <t>https://docs.google.com/document/d/1ywMBRVEdxOV-F7DU3PmOy6EzjHxOHCPAOl4FAGTaZzs/edit?usp=sharing</t>
  </si>
  <si>
    <t>Skirball Cultural Center Marketing view</t>
  </si>
  <si>
    <t>https://docs.google.com/document/d/1ywMBRVEdxOV-F7DU3PmOy6EzjHxOHCPAOl4FAGTaZzs/view</t>
  </si>
  <si>
    <t>https://docs.google.com/presentation/d/19d-jXD1uspn-XCwdW_0OwUQEtQdZ0EJexeEWfoy9-SI/edit?usp=sharing</t>
  </si>
  <si>
    <t>https://docs.google.com/presentation/d/19d-jXD1uspn-XCwdW_0OwUQEtQdZ0EJexeEWfoy9-SI/view</t>
  </si>
  <si>
    <t>Skirball Cultural Center Marketing html</t>
  </si>
  <si>
    <t>https://docs.google.com/presentation/d/19d-jXD1uspn-XCwdW_0OwUQEtQdZ0EJexeEWfoy9-SI/htmlpresent</t>
  </si>
  <si>
    <t>Vibiana Los Angeles Photo Marketing</t>
  </si>
  <si>
    <t>https://docs.google.com/document/d/1jaU6iRX4KREwD6hTLKH4ghdHOxuU-lrIWz-j-aGc_BA/edit?usp=sharing</t>
  </si>
  <si>
    <t>Vibiana Los Angeles Photo Marketing view</t>
  </si>
  <si>
    <t>https://docs.google.com/document/d/1jaU6iRX4KREwD6hTLKH4ghdHOxuU-lrIWz-j-aGc_BA/view</t>
  </si>
  <si>
    <t>https://docs.google.com/presentation/d/1RefbJObYeu5p-9eCUaUKGEq1qXT87cpOeznA-BKwYE4/edit?usp=sharing</t>
  </si>
  <si>
    <t>https://docs.google.com/presentation/d/1RefbJObYeu5p-9eCUaUKGEq1qXT87cpOeznA-BKwYE4/view</t>
  </si>
  <si>
    <t>Vibiana Los Angeles Photo Marketing html</t>
  </si>
  <si>
    <t>https://docs.google.com/presentation/d/1RefbJObYeu5p-9eCUaUKGEq1qXT87cpOeznA-BKwYE4/htmlpresent</t>
  </si>
  <si>
    <t>Lombardi House Marketing Photography</t>
  </si>
  <si>
    <t>https://drive.google.com/file/d/1vhRe_DzzVQkmCC_yc_HkqOReUvAlrZMF/view?usp=sharing</t>
  </si>
  <si>
    <t>The Revery LA Event Photography</t>
  </si>
  <si>
    <t>https://docs.google.com/document/d/1ijsUh2OuZcZQEGltIekt-Vd3ig4q3DQTD3hCwsgSEZc/edit?usp=sharing</t>
  </si>
  <si>
    <t>The Revery LA Event Photography view</t>
  </si>
  <si>
    <t>https://docs.google.com/document/d/1ijsUh2OuZcZQEGltIekt-Vd3ig4q3DQTD3hCwsgSEZc/view</t>
  </si>
  <si>
    <t>https://docs.google.com/presentation/d/1BfNtGOjIZz6-pV4qdqJvHRHt3nD9zs4Xg71lq-gkFNM/edit?usp=sharing</t>
  </si>
  <si>
    <t>https://docs.google.com/presentation/d/1BfNtGOjIZz6-pV4qdqJvHRHt3nD9zs4Xg71lq-gkFNM/view</t>
  </si>
  <si>
    <t>The Revery LA Event Photography html</t>
  </si>
  <si>
    <t>https://docs.google.com/presentation/d/1BfNtGOjIZz6-pV4qdqJvHRHt3nD9zs4Xg71lq-gkFNM/htmlpresent</t>
  </si>
  <si>
    <t>Pelican Hill Luxury Brand Photo</t>
  </si>
  <si>
    <t>https://docs.google.com/document/d/1w12S9gOamRovAQasfcbhbNv8mY2YiKdUbH5DBmnubuM/edit?usp=sharing</t>
  </si>
  <si>
    <t>Pelican Hill Luxury Brand Photo view</t>
  </si>
  <si>
    <t>https://docs.google.com/document/d/1w12S9gOamRovAQasfcbhbNv8mY2YiKdUbH5DBmnubuM/view</t>
  </si>
  <si>
    <t>https://docs.google.com/presentation/d/1lWS7aBihXSD6BotlyywEY9giAcz2pwejsyHu4zNGacM/edit?usp=sharing</t>
  </si>
  <si>
    <t>https://docs.google.com/presentation/d/1lWS7aBihXSD6BotlyywEY9giAcz2pwejsyHu4zNGacM/view</t>
  </si>
  <si>
    <t>Pelican Hill Luxury Brand Photo html</t>
  </si>
  <si>
    <t>https://docs.google.com/presentation/d/1lWS7aBihXSD6BotlyywEY9giAcz2pwejsyHu4zNGacM/htmlpresent</t>
  </si>
  <si>
    <t>https://docs.google.com/document/d/1vMpo7g74qoF4tlQHiUeY3HAHRtFM8_thL-39ABV0JDg/edit?usp=sharing</t>
  </si>
  <si>
    <t>Lombardi House Marketing Photography view</t>
  </si>
  <si>
    <t>https://docs.google.com/document/d/1vMpo7g74qoF4tlQHiUeY3HAHRtFM8_thL-39ABV0JDg/view</t>
  </si>
  <si>
    <t>https://docs.google.com/presentation/d/1aqR37Rsej2Jd6u5kVyrE3JVXxEMIGc0dsxp_D11Pkc4/edit?usp=sharing</t>
  </si>
  <si>
    <t>https://docs.google.com/presentation/d/1aqR37Rsej2Jd6u5kVyrE3JVXxEMIGc0dsxp_D11Pkc4/view</t>
  </si>
  <si>
    <t>Lombardi House Marketing Photography html</t>
  </si>
  <si>
    <t>https://docs.google.com/presentation/d/1aqR37Rsej2Jd6u5kVyrE3JVXxEMIGc0dsxp_D11Pkc4/htmlpresent</t>
  </si>
  <si>
    <t>Luxury Gala Photography Los Angeles</t>
  </si>
  <si>
    <t>https://drive.google.com/file/d/1Pa2ux0PMnrJ7y7fVZuApgm9gZlGrCvkP/view?usp=sharing</t>
  </si>
  <si>
    <t>Hotel Per La Event Marketing</t>
  </si>
  <si>
    <t>https://docs.google.com/document/d/1oE3Zfitol1b31kZadqvsbg1PeT4wkkaWHx06BMeRqdE/edit?usp=sharing</t>
  </si>
  <si>
    <t>Hotel Per La Event Marketing view</t>
  </si>
  <si>
    <t>https://docs.google.com/document/d/1oE3Zfitol1b31kZadqvsbg1PeT4wkkaWHx06BMeRqdE/view</t>
  </si>
  <si>
    <t>https://docs.google.com/presentation/d/1bhlo-FHVyvSReZOWoOBvXKWitJaKEbtszC2uOaOXQfI/edit?usp=sharing</t>
  </si>
  <si>
    <t>https://docs.google.com/presentation/d/1bhlo-FHVyvSReZOWoOBvXKWitJaKEbtszC2uOaOXQfI/view</t>
  </si>
  <si>
    <t>Hotel Per La Event Marketing html</t>
  </si>
  <si>
    <t>https://docs.google.com/presentation/d/1bhlo-FHVyvSReZOWoOBvXKWitJaKEbtszC2uOaOXQfI/htmlpresent</t>
  </si>
  <si>
    <t>High Net Worth Photography Services</t>
  </si>
  <si>
    <t>https://docs.google.com/document/d/1po2hi9r8fGbthx1_VnTXYo3nEs29jNzVGPuI50ubUiQ/edit?usp=sharing</t>
  </si>
  <si>
    <t>High Net Worth Photography Services view</t>
  </si>
  <si>
    <t>https://docs.google.com/document/d/1po2hi9r8fGbthx1_VnTXYo3nEs29jNzVGPuI50ubUiQ/view</t>
  </si>
  <si>
    <t>https://docs.google.com/presentation/d/1KPYplxTbTHDp1s2bya_iFvgLtO_dnoXiANUmqCwj6ek/edit?usp=sharing</t>
  </si>
  <si>
    <t>https://docs.google.com/presentation/d/1KPYplxTbTHDp1s2bya_iFvgLtO_dnoXiANUmqCwj6ek/view</t>
  </si>
  <si>
    <t>High Net Worth Photography Services html</t>
  </si>
  <si>
    <t>https://docs.google.com/presentation/d/1KPYplxTbTHDp1s2bya_iFvgLtO_dnoXiANUmqCwj6ek/htmlpresent</t>
  </si>
  <si>
    <t>https://docs.google.com/document/d/1_GZC73ImG1AN6ltB-Uu9362cRjBB5WGSuSihBp0jsi0/edit?usp=sharing</t>
  </si>
  <si>
    <t>Luxury Gala Photography Los Angeles view</t>
  </si>
  <si>
    <t>https://docs.google.com/document/d/1_GZC73ImG1AN6ltB-Uu9362cRjBB5WGSuSihBp0jsi0/view</t>
  </si>
  <si>
    <t>https://docs.google.com/presentation/d/1KxLpS4q8bXiOgqsPNEga9JOdcjCtAGeUDhq7PGnizYo/edit?usp=sharing</t>
  </si>
  <si>
    <t>https://docs.google.com/presentation/d/1KxLpS4q8bXiOgqsPNEga9JOdcjCtAGeUDhq7PGnizYo/view</t>
  </si>
  <si>
    <t>Luxury Gala Photography Los Angeles html</t>
  </si>
  <si>
    <t>https://docs.google.com/presentation/d/1KxLpS4q8bXiOgqsPNEga9JOdcjCtAGeUDhq7PGnizYo/htmlpresent</t>
  </si>
  <si>
    <t>Premium Visual Brand Strategy</t>
  </si>
  <si>
    <t>https://drive.google.com/file/d/1Ck6QU1d9DDpRC53UzMW8HtbqWW1KH2o9/view?usp=sharing</t>
  </si>
  <si>
    <t>Boutique Event Marketing Agency LA</t>
  </si>
  <si>
    <t>https://docs.google.com/document/d/1cHtB5rpubS-TYcBOqYbRh_PpKJNp5wb_xEYts7PjV-Q/edit?usp=sharing</t>
  </si>
  <si>
    <t>Boutique Event Marketing Agency LA view</t>
  </si>
  <si>
    <t>https://docs.google.com/document/d/1cHtB5rpubS-TYcBOqYbRh_PpKJNp5wb_xEYts7PjV-Q/view</t>
  </si>
  <si>
    <t>https://docs.google.com/presentation/d/1720FmjtVpwqyEdp96C17XI-85nycDidt1PVdgyzTO74/edit?usp=sharing</t>
  </si>
  <si>
    <t>https://docs.google.com/presentation/d/1720FmjtVpwqyEdp96C17XI-85nycDidt1PVdgyzTO74/view</t>
  </si>
  <si>
    <t>Boutique Event Marketing Agency LA html</t>
  </si>
  <si>
    <t>https://docs.google.com/presentation/d/1720FmjtVpwqyEdp96C17XI-85nycDidt1PVdgyzTO74/htmlpresent</t>
  </si>
  <si>
    <t>https://docs.google.com/document/d/1W100JWMHvGZhjvnu5MSzoVeEp-0m_ayaZf4v8Sp9JQc/edit?usp=sharing</t>
  </si>
  <si>
    <t>Premium Visual Brand Strategy view</t>
  </si>
  <si>
    <t>https://docs.google.com/document/d/1W100JWMHvGZhjvnu5MSzoVeEp-0m_ayaZf4v8Sp9JQc/view</t>
  </si>
  <si>
    <t>https://docs.google.com/presentation/d/1qZcaaULQEbzhqUuo_TODrAjLLT1UXc9jvSUTgG-zmsQ/edit?usp=sharing</t>
  </si>
  <si>
    <t>https://docs.google.com/presentation/d/1qZcaaULQEbzhqUuo_TODrAjLLT1UXc9jvSUTgG-zmsQ/view</t>
  </si>
  <si>
    <t>Premium Visual Brand Strategy html</t>
  </si>
  <si>
    <t>https://docs.google.com/presentation/d/1qZcaaULQEbzhqUuo_TODrAjLLT1UXc9jvSUTgG-zmsQ/htmlpresent</t>
  </si>
  <si>
    <t>Private Estate Event Photography</t>
  </si>
  <si>
    <t>https://docs.google.com/document/d/1isFS_XkuLo1qVb7sZndg_DX4GGjCZWwZN-B7RoQ8N9Y/edit?usp=sharing</t>
  </si>
  <si>
    <t>Private Estate Event Photography view</t>
  </si>
  <si>
    <t>https://docs.google.com/document/d/1isFS_XkuLo1qVb7sZndg_DX4GGjCZWwZN-B7RoQ8N9Y/view</t>
  </si>
  <si>
    <t>https://docs.google.com/presentation/d/1Ye_ED7N05CdPK0k350ZRMGAI6igBsHcTb1VGH9XWJVI/edit?usp=sharing</t>
  </si>
  <si>
    <t>https://docs.google.com/presentation/d/1Ye_ED7N05CdPK0k350ZRMGAI6igBsHcTb1VGH9XWJVI/view</t>
  </si>
  <si>
    <t>Private Estate Event Photography html</t>
  </si>
  <si>
    <t>https://docs.google.com/presentation/d/1Ye_ED7N05CdPK0k350ZRMGAI6igBsHcTb1VGH9XWJVI/htmlpresent</t>
  </si>
  <si>
    <t>Elite Corporate Event Marketing</t>
  </si>
  <si>
    <t>https://drive.google.com/file/d/1hlgZVFJ3V3V-ERCUaCNvJw98H_luDtzC/view?usp=sharing</t>
  </si>
  <si>
    <t>https://docs.google.com/document/d/1MKc54RBVYXRZOu8W1gmeBcxcFkp23F8AjO12b79rQZM/edit?usp=sharing</t>
  </si>
  <si>
    <t>Elite Corporate Event Marketing view</t>
  </si>
  <si>
    <t>https://docs.google.com/document/d/1MKc54RBVYXRZOu8W1gmeBcxcFkp23F8AjO12b79rQZM/view</t>
  </si>
  <si>
    <t>https://docs.google.com/presentation/d/1ODwg4Dhl_C7BltMqgWMZExoL3KWm7ixlWwt4Hl6kOYA/edit?usp=sharing</t>
  </si>
  <si>
    <t>https://docs.google.com/presentation/d/1ODwg4Dhl_C7BltMqgWMZExoL3KWm7ixlWwt4Hl6kOYA/view</t>
  </si>
  <si>
    <t>Elite Corporate Event Marketing html</t>
  </si>
  <si>
    <t>https://docs.google.com/presentation/d/1ODwg4Dhl_C7BltMqgWMZExoL3KWm7ixlWwt4Hl6kOYA/htmlpresent</t>
  </si>
  <si>
    <t>Ultra Luxury Brand Activation LA</t>
  </si>
  <si>
    <t>https://docs.google.com/document/d/1N_WmnXk_EKrmi--waoyp9BL8DzcU3hXPOsPLIhPyqQI/edit?usp=sharing</t>
  </si>
  <si>
    <t>Ultra Luxury Brand Activation LA view</t>
  </si>
  <si>
    <t>https://docs.google.com/document/d/1N_WmnXk_EKrmi--waoyp9BL8DzcU3hXPOsPLIhPyqQI/view</t>
  </si>
  <si>
    <t>https://docs.google.com/presentation/d/1Gx5m3qh53cq8CG9jhSO1RgNzwltLY-5pM-LkN-fIgl8/edit?usp=sharing</t>
  </si>
  <si>
    <t>https://docs.google.com/presentation/d/1Gx5m3qh53cq8CG9jhSO1RgNzwltLY-5pM-LkN-fIgl8/view</t>
  </si>
  <si>
    <t>Ultra Luxury Brand Activation LA html</t>
  </si>
  <si>
    <t>https://docs.google.com/presentation/d/1Gx5m3qh53cq8CG9jhSO1RgNzwltLY-5pM-LkN-fIgl8/htmlpresent</t>
  </si>
  <si>
    <t>folder HTML</t>
  </si>
  <si>
    <t>The Beverly Hills Hotel Event Marketing HTML</t>
  </si>
  <si>
    <t>https://drive.google.com/drive/folders/1tZK-JKJU6Yjk13Enn-2Jz_xmPiFwm78D?usp=sharing</t>
  </si>
  <si>
    <t>HTML</t>
  </si>
  <si>
    <t>The-Beverly-Hills-Hotel-Event-Marketing.html</t>
  </si>
  <si>
    <t>https://drive.google.com/file/d/1rhLRcFQLhxybwgZaYUQgqLiM6lulcmHK/view?usp=sharing</t>
  </si>
  <si>
    <t>Waldorf-Astoria-Beverly-Hills-Photo-The-Beverly-Hills-Hotel-Event-Marketing.html</t>
  </si>
  <si>
    <t>https://drive.google.com/file/d/1BBSXXhq8Qw8NWfR--eVuEr7GMLsUyV0g/view?usp=sharing</t>
  </si>
  <si>
    <t>The-Maybourne-Beverly-Hills-Marketing-The-Beverly-Hills-Hotel-Event-Marketing.html</t>
  </si>
  <si>
    <t>https://drive.google.com/file/d/1UPz6hru1gGcsayMKqBjsD5ReXlmF1YzR/view?usp=sharing</t>
  </si>
  <si>
    <t>Chateau-Marmont-Event-Photography-The-Beverly-Hills-Hotel-Event-Marketing.html</t>
  </si>
  <si>
    <t>https://drive.google.com/file/d/1tJ5xXBvyMHLHfGoBXkWpZQ5BvKrFJ3Ls/view?usp=sharing</t>
  </si>
  <si>
    <t>Soho-House-West-Hollywood-Marketing-The-Beverly-Hills-Hotel-Event-Marketing.html</t>
  </si>
  <si>
    <t>https://drive.google.com/file/d/1BuI3yse4X25mwZu8IBaRxlJduqznU3In/view?usp=sharing</t>
  </si>
  <si>
    <t>Greystone-Mansion-Photo-Marketing-The-Beverly-Hills-Hotel-Event-Marketing.html</t>
  </si>
  <si>
    <t>https://drive.google.com/file/d/12tFOb0UUWVkHnGh4jZ99nR8vK51SZFWX/view?usp=sharing</t>
  </si>
  <si>
    <t>The-London-West-Hollywood-Photography-The-Beverly-Hills-Hotel-Event-Marketing.html</t>
  </si>
  <si>
    <t>https://drive.google.com/file/d/1lT36zOT-SnzNcf3qhqFEqnvyW9CKse2p/view?usp=sharing</t>
  </si>
  <si>
    <t>Hammer-Museum-Event-Photography-The-Beverly-Hills-Hotel-Event-Marketing.html</t>
  </si>
  <si>
    <t>https://drive.google.com/file/d/1TfFuymZbrB0ezawRClzdx7rG3QyYmz4Q/view?usp=sharing</t>
  </si>
  <si>
    <t>Skirball-Cultural-Center-Marketing-The-Beverly-Hills-Hotel-Event-Marketing.html</t>
  </si>
  <si>
    <t>https://drive.google.com/file/d/1C4vlp3MpcvJpmkhXTQlElYX-I_lIppA0/view?usp=sharing</t>
  </si>
  <si>
    <t>Vibiana-Los-Angeles-Photo-Marketing-The-Beverly-Hills-Hotel-Event-Marketing.html</t>
  </si>
  <si>
    <t>https://drive.google.com/file/d/1McmfSDd3in49MjjJNSsc-ieB4hNd5K24/view?usp=sharing</t>
  </si>
  <si>
    <t>The-Revery-LA-Event-Photography-The-Beverly-Hills-Hotel-Event-Marketing.html</t>
  </si>
  <si>
    <t>https://drive.google.com/file/d/1zgdxJ9A2tpijIrJ-quekUWXWzJKBUwTZ/view?usp=sharing</t>
  </si>
  <si>
    <t>Pelican-Hill-Luxury-Brand-Photo-The-Beverly-Hills-Hotel-Event-Marketing.html</t>
  </si>
  <si>
    <t>https://drive.google.com/file/d/1UFyDfdsN1b5wTc7xzzzUiZESVQcsHYzF/view?usp=sharing</t>
  </si>
  <si>
    <t>Lombardi-House-Marketing-Photography-The-Beverly-Hills-Hotel-Event-Marketing.html</t>
  </si>
  <si>
    <t>https://drive.google.com/file/d/1P3GEZVvVOtK9QE_Lfq8X1v_RkgSwyPBJ/view?usp=sharing</t>
  </si>
  <si>
    <t>Hotel-Per-La-Event-Marketing-The-Beverly-Hills-Hotel-Event-Marketing.html</t>
  </si>
  <si>
    <t>https://drive.google.com/file/d/1jGXv8EGcBIc6m3AAgFZhjM4iJOKY3Zqg/view?usp=sharing</t>
  </si>
  <si>
    <t>High-Net-Worth-Photography-Services-The-Beverly-Hills-Hotel-Event-Marketing.html</t>
  </si>
  <si>
    <t>https://drive.google.com/file/d/1PMgmLjZAd0IV_ydMzLWqbZWyrV0YVAg9/view?usp=sharing</t>
  </si>
  <si>
    <t>Luxury-Gala-Photography-Los-Angeles-The-Beverly-Hills-Hotel-Event-Marketing.html</t>
  </si>
  <si>
    <t>https://drive.google.com/file/d/1wxRPzA7JIAvnbPrqrSwjlMzluPnqrjvF/view?usp=sharing</t>
  </si>
  <si>
    <t>Boutique-Event-Marketing-Agency-LA-The-Beverly-Hills-Hotel-Event-Marketing.html</t>
  </si>
  <si>
    <t>https://drive.google.com/file/d/1Utvb5caLXeS1BC-VWcpQIZhD0FSDsILz/view?usp=sharing</t>
  </si>
  <si>
    <t>Premium-Visual-Brand-Strategy-The-Beverly-Hills-Hotel-Event-Marketing.html</t>
  </si>
  <si>
    <t>https://drive.google.com/file/d/1EpEI_iTdIupFbsF305u6sCJ6sCocHpID/view?usp=sharing</t>
  </si>
  <si>
    <t>Private-Estate-Event-Photography-The-Beverly-Hills-Hotel-Event-Marketing.html</t>
  </si>
  <si>
    <t>https://drive.google.com/file/d/1PZmYi3fbYE3LA1-d2Z4QdB24vAn4BO3q/view?usp=sharing</t>
  </si>
  <si>
    <t>Elite-Corporate-Event-Marketing-The-Beverly-Hills-Hotel-Event-Marketing.html</t>
  </si>
  <si>
    <t>https://drive.google.com/file/d/1oi2_F_e0Tfp6AGqBySNJVAYSsPJYEx3p/view?usp=sharing</t>
  </si>
  <si>
    <t>Ultra-Luxury-Brand-Activation-LA-The-Beverly-Hills-Hotel-Event-Marketing.html</t>
  </si>
  <si>
    <t>https://drive.google.com/file/d/1mPeyuZMcEkUh7vG-UHihpYNiI6Ar2Wzr/view?usp=sharing</t>
  </si>
  <si>
    <t>ods</t>
  </si>
  <si>
    <t>The Beverly Hills Hotel Event Marketing-The Beverly Hills Hotel Event Marketing.ods</t>
  </si>
  <si>
    <t>https://drive.google.com/file/d/1UBcNejQ4pXuPJcqgB3vBniYL3rPQvbzl/view?usp=sharing</t>
  </si>
  <si>
    <t>xlsx</t>
  </si>
  <si>
    <t>The Beverly Hills Hotel Event Marketing-The Beverly Hills Hotel Event Marketing.xlsx</t>
  </si>
  <si>
    <t>https://docs.google.com/spreadsheets/d/1Wd8zhtmVTfnPrI4XUsmUOI7xBJxidrWZ/edit?usp=sharing&amp;ouid=115602453726005426174&amp;rtpof=true&amp;sd=true</t>
  </si>
  <si>
    <t>The Beverly Hills Hotel Event Marketing-Keywords.ods</t>
  </si>
  <si>
    <t>https://drive.google.com/file/d/1H1vcYeLTtkvDJH7nDT_6VLZMllILW1rA/view?usp=sharing</t>
  </si>
  <si>
    <t>The Beverly Hills Hotel Event Marketing-Keywords.xlsx</t>
  </si>
  <si>
    <t>https://docs.google.com/spreadsheets/d/1-2z38pIs_TYOYJRDoCxYl9U8SEZW7y2Z/edit?usp=sharing&amp;ouid=115602453726005426174&amp;rtpof=true&amp;sd=true</t>
  </si>
  <si>
    <t>The Beverly Hills Hotel Event Marketing-Content.ods</t>
  </si>
  <si>
    <t>https://drive.google.com/file/d/1KSBk3kgzoesVzX4ssXdwoy-peOoG9H3e/view?usp=sharing</t>
  </si>
  <si>
    <t>The Beverly Hills Hotel Event Marketing-Content.xlsx</t>
  </si>
  <si>
    <t>https://docs.google.com/spreadsheets/d/1F4EDa4cN5cP8sHlaKLVryiTEnq4QaP1j/edit?usp=sharing&amp;ouid=115602453726005426174&amp;rtpof=true&amp;sd=true</t>
  </si>
  <si>
    <t>The Beverly Hills Hotel Event Marketing-Calendar Events.ods</t>
  </si>
  <si>
    <t>https://drive.google.com/file/d/17I3LgtPimxXd8UAWc00aDgsCeU3IL-vl/view?usp=sharing</t>
  </si>
  <si>
    <t>The Beverly Hills Hotel Event Marketing-Calendar Events.xlsx</t>
  </si>
  <si>
    <t>https://docs.google.com/spreadsheets/d/1f7zBqALrsSS2HG42Ey-UMLg_QkYt7jvL/edit?usp=sharing&amp;ouid=115602453726005426174&amp;rtpof=true&amp;sd=true</t>
  </si>
  <si>
    <t>The Beverly Hills Hotel Event Marketing-RSS Feeds.ods</t>
  </si>
  <si>
    <t>https://drive.google.com/file/d/1Z7Kt5d0E4Eiu8ruf8K9l1bjz3glomNRv/view?usp=sharing</t>
  </si>
  <si>
    <t>The Beverly Hills Hotel Event Marketing-RSS Feeds.xlsx</t>
  </si>
  <si>
    <t>https://docs.google.com/spreadsheets/d/1m1bqJebm9d1ORDjQ9CVIHtC8bURVwNcJ/edit?usp=sharing&amp;ouid=115602453726005426174&amp;rtpof=true&amp;sd=true</t>
  </si>
  <si>
    <t>The Beverly Hills Hotel Event Marketing-Iframe Embeds.ods</t>
  </si>
  <si>
    <t>https://drive.google.com/file/d/1-c2Z530y2o2L4L0GONdPO3IWj7PY8kf4/view?usp=sharing</t>
  </si>
  <si>
    <t>The Beverly Hills Hotel Event Marketing-Iframe Embeds.xlsx</t>
  </si>
  <si>
    <t>https://docs.google.com/spreadsheets/d/1yCUEK_kEatca2RrQvAXk3Ubufv-I14VZ/edit?usp=sharing&amp;ouid=115602453726005426174&amp;rtpof=true&amp;sd=true</t>
  </si>
  <si>
    <t>rtf</t>
  </si>
  <si>
    <t>Chateau Marmont Event Photography.rtf</t>
  </si>
  <si>
    <t>https://drive.google.com/file/d/1qxudyQ717CGhQ2jo5TlL0Bik0v6vQTJo/view?usp=sharing</t>
  </si>
  <si>
    <t>txt</t>
  </si>
  <si>
    <t>Chateau Marmont Event Photography.txt</t>
  </si>
  <si>
    <t>https://drive.google.com/file/d/1ZFXQ-APRexg0U_a5r0IvTjmqYI9LYcCf/view?usp=sharing</t>
  </si>
  <si>
    <t>Soho House West Hollywood Marketing.rtf</t>
  </si>
  <si>
    <t>https://drive.google.com/file/d/1Rq1UME913l5LrtHGjf2YA8CdRSZWp7J_/view?usp=sharing</t>
  </si>
  <si>
    <t>Soho House West Hollywood Marketing.txt</t>
  </si>
  <si>
    <t>https://drive.google.com/file/d/1Uc0l5Z1KmtAfi4NYMQ51Qme_WzlsKWVm/view?usp=sharing</t>
  </si>
  <si>
    <t>Greystone Mansion Photo Marketing.rtf</t>
  </si>
  <si>
    <t>https://drive.google.com/file/d/1n8Z3k8hYV3wdTpCQ5VPAhftL1tW4EN9V/view?usp=sharing</t>
  </si>
  <si>
    <t>Greystone Mansion Photo Marketing.txt</t>
  </si>
  <si>
    <t>https://drive.google.com/file/d/1QNSlDWKGpCVHIJlH0ajY8mzOGd-70FTS/view?usp=sharing</t>
  </si>
  <si>
    <t>The London West Hollywood Photography.rtf</t>
  </si>
  <si>
    <t>https://drive.google.com/file/d/1s9CSW8yXz2ErU26dw7FMfuBtKxOVHj4R/view?usp=sharing</t>
  </si>
  <si>
    <t>The London West Hollywood Photography.txt</t>
  </si>
  <si>
    <t>https://drive.google.com/file/d/1Qi136hXdq1HO6BRHZdkyqgvVrHiLfrRW/view?usp=sharing</t>
  </si>
  <si>
    <t>Hammer Museum Event Photography.rtf</t>
  </si>
  <si>
    <t>https://drive.google.com/file/d/191STR1BKk7DXf-BGyZ0Ok24tz9zqoflG/view?usp=sharing</t>
  </si>
  <si>
    <t>Hammer Museum Event Photography.txt</t>
  </si>
  <si>
    <t>https://drive.google.com/file/d/1q44rSFsQd1n5sVDy5xpSkcclxe2AUf-4/view?usp=sharing</t>
  </si>
  <si>
    <t>Skirball Cultural Center Marketing.rtf</t>
  </si>
  <si>
    <t>https://drive.google.com/file/d/1mDrgM1o3KV1Q5fp8drRNDc8g_bI0SFQZ/view?usp=sharing</t>
  </si>
  <si>
    <t>Skirball Cultural Center Marketing.txt</t>
  </si>
  <si>
    <t>https://drive.google.com/file/d/10SS1l-LRw_BxPsENWBLkf_OJzxfuj-qB/view?usp=sharing</t>
  </si>
  <si>
    <t>Vibiana Los Angeles Photo Marketing.rtf</t>
  </si>
  <si>
    <t>https://drive.google.com/file/d/1SLvoHtDa4znx2gE2qSJEHyNDVHRYmx4o/view?usp=sharing</t>
  </si>
  <si>
    <t>Vibiana Los Angeles Photo Marketing.txt</t>
  </si>
  <si>
    <t>https://drive.google.com/file/d/1xPv-VRBZUDp4RnFaGf7Igx1-uWZjzE-L/view?usp=sharing</t>
  </si>
  <si>
    <t>The Revery LA Event Photography.rtf</t>
  </si>
  <si>
    <t>https://drive.google.com/file/d/1gdG8FDijbv4y6pFyEyTKKoanKIFraSJL/view?usp=sharing</t>
  </si>
  <si>
    <t>The Revery LA Event Photography.txt</t>
  </si>
  <si>
    <t>https://drive.google.com/file/d/1yE5AfCqnQeouBoLLFiUpQ0kOiFDq6zgx/view?usp=sharing</t>
  </si>
  <si>
    <t>Pelican Hill Luxury Brand Photo.rtf</t>
  </si>
  <si>
    <t>https://drive.google.com/file/d/1u7wxY0pB91-iG7OZvywTLV-RNJRaYSfF/view?usp=sharing</t>
  </si>
  <si>
    <t>Pelican Hill Luxury Brand Photo.txt</t>
  </si>
  <si>
    <t>https://drive.google.com/file/d/1M9SAjrGKApncouEE0zy3M7tgiySJu2hG/view?usp=sharing</t>
  </si>
  <si>
    <t>Lombardi House Marketing Photography.rtf</t>
  </si>
  <si>
    <t>https://drive.google.com/file/d/1VNftyMVyrRrzkujdZb0tbak-RFIxbnPi/view?usp=sharing</t>
  </si>
  <si>
    <t>Lombardi House Marketing Photography.txt</t>
  </si>
  <si>
    <t>https://drive.google.com/file/d/10UL0ITZBQQmCUvGTLhEu0DoO8TWZSYFe/view?usp=sharing</t>
  </si>
  <si>
    <t>Hotel Per La Event Marketing.rtf</t>
  </si>
  <si>
    <t>https://drive.google.com/file/d/1fSoOE_S_DZZ3VD49U6BMD4aUzTJ5FSTW/view?usp=sharing</t>
  </si>
  <si>
    <t>Hotel Per La Event Marketing.txt</t>
  </si>
  <si>
    <t>https://drive.google.com/file/d/1AvLjDLxZwbkt9qEHch-k-9HV0-dqc-_D/view?usp=sharing</t>
  </si>
  <si>
    <t>High Net Worth Photography Services.rtf</t>
  </si>
  <si>
    <t>https://drive.google.com/file/d/1DDIDpW0Kh8ZI3pIMJSHea56PqjIL-Gia/view?usp=sharing</t>
  </si>
  <si>
    <t>High Net Worth Photography Services.txt</t>
  </si>
  <si>
    <t>https://drive.google.com/file/d/1fY55Wp3s6n-pMRFEkpdTXWAmJ1BYP6fd/view?usp=sharing</t>
  </si>
  <si>
    <t>Luxury Gala Photography Los Angeles.rtf</t>
  </si>
  <si>
    <t>https://drive.google.com/file/d/11iBbCEm2vr0vjxp_-kJpd3n72kZ61gj3/view?usp=sharing</t>
  </si>
  <si>
    <t>Luxury Gala Photography Los Angeles.txt</t>
  </si>
  <si>
    <t>https://drive.google.com/file/d/1dm_3SazyE5OeMhUXX9W8VzFmzzhqd5Qe/view?usp=sharing</t>
  </si>
  <si>
    <t>Boutique Event Marketing Agency LA.rtf</t>
  </si>
  <si>
    <t>https://drive.google.com/file/d/1UrZfySCtPWc8x5sK5eTJH01O6FMScHRR/view?usp=sharing</t>
  </si>
  <si>
    <t>Boutique Event Marketing Agency LA.txt</t>
  </si>
  <si>
    <t>https://drive.google.com/file/d/11_JbpF26yGOtIWlI3zEHa7J8bRNL2DIS/view?usp=sharing</t>
  </si>
  <si>
    <t>Premium Visual Brand Strategy.rtf</t>
  </si>
  <si>
    <t>https://drive.google.com/file/d/10iM7jhscTlATQQz5KoqeGmFdh6zfU6L1/view?usp=sharing</t>
  </si>
  <si>
    <t>Premium Visual Brand Strategy.txt</t>
  </si>
  <si>
    <t>https://drive.google.com/file/d/1btx0-MB3RggoN72QnYspPIkzfNSn-L5P/view?usp=sharing</t>
  </si>
  <si>
    <t>Private Estate Event Photography.rtf</t>
  </si>
  <si>
    <t>https://drive.google.com/file/d/1lbMyhJVLja0lGgJMJje1LA8ELECqrTs9/view?usp=sharing</t>
  </si>
  <si>
    <t>Private Estate Event Photography.txt</t>
  </si>
  <si>
    <t>https://drive.google.com/file/d/128UVMjbVEmGMYBte4PsGQ0y2oFmtqiQA/view?usp=sharing</t>
  </si>
  <si>
    <t>Elite Corporate Event Marketing.rtf</t>
  </si>
  <si>
    <t>https://drive.google.com/file/d/1Y6nReUpNe_dtlocxyAJnyi7kKdG4PMwM/view?usp=sharing</t>
  </si>
  <si>
    <t>Elite Corporate Event Marketing.txt</t>
  </si>
  <si>
    <t>https://drive.google.com/file/d/1IcCbxey2MiNJgDJuJOLtYfRRvI8YQ7U7/view?usp=sharing</t>
  </si>
  <si>
    <t>Ultra Luxury Brand Activation LA.rtf</t>
  </si>
  <si>
    <t>https://drive.google.com/file/d/1oIsJCTYgD_6wPqV4j6hkGBZ4jpb1yVEz/view?usp=sharing</t>
  </si>
  <si>
    <t>Ultra Luxury Brand Activation LA.txt</t>
  </si>
  <si>
    <t>https://drive.google.com/file/d/1scmutnPM8VhW6NZb3ilvyybTr0MCkAhy/view?usp=sharing</t>
  </si>
  <si>
    <t>The Maybourne Beverly Hills Marketing.rtf</t>
  </si>
  <si>
    <t>https://drive.google.com/file/d/1JUNYz2vuTURqkkSE6IT9HBjFmNNDsvmM/view?usp=sharing</t>
  </si>
  <si>
    <t>The Maybourne Beverly Hills Marketing.txt</t>
  </si>
  <si>
    <t>https://drive.google.com/file/d/1HWcQ2FU7poYi9l3qjs4hPA5T32Y73TlO/view?usp=sharing</t>
  </si>
  <si>
    <t>Waldorf Astoria Beverly Hills Photo.rtf</t>
  </si>
  <si>
    <t>https://drive.google.com/file/d/1avpGmPagV0TLtR6GT2Ug3ST-i3aSPXLN/view?usp=sharing</t>
  </si>
  <si>
    <t>Waldorf Astoria Beverly Hills Photo.txt</t>
  </si>
  <si>
    <t>https://drive.google.com/file/d/1nPPNGb6HXxXf7RNkVMPLB5ggWmBdwdkh/view?usp=sharing</t>
  </si>
  <si>
    <t>The Beverly Hills Hotel Event Marketing.rtf</t>
  </si>
  <si>
    <t>https://drive.google.com/file/d/1of0qZyHpyBD1IJPnY3tc-sYogHssJl45/view?usp=sharing</t>
  </si>
  <si>
    <t>The Beverly Hills Hotel Event Marketing.txt</t>
  </si>
  <si>
    <t>https://drive.google.com/file/d/1tUZLcBKSuDhwFLyolyDKq7TQqFjNR3rB/view?usp=sharing</t>
  </si>
  <si>
    <t>https://drive.google.com/file/d/1z2VfzMqOc_290sAHpZrHIyLkGXTRL0B2/view?usp=sharing</t>
  </si>
  <si>
    <t>https://drive.google.com/file/d/1vT316oop_RDEFAdTJ5picMjImtFi_U-m/view?usp=sharing</t>
  </si>
  <si>
    <t>https://drive.google.com/file/d/1Gc4vKiM-XzG1P7CZXtfhp7nAfWELehdA/view?usp=sharing</t>
  </si>
  <si>
    <t>https://drive.google.com/file/d/1iHHrR4UEPj18vTPQetXBuTlE-h62Dmdc/view?usp=sharing</t>
  </si>
  <si>
    <t>https://drive.google.com/file/d/1R9v48sJxtoloNaiUfEDTqrBNmcOsTo2p/view?usp=sharing</t>
  </si>
  <si>
    <t>https://drive.google.com/file/d/1UTjQaLcvYH_15Lzf4KVmXW48NLTACaIP/view?usp=sharing</t>
  </si>
  <si>
    <t>pdf</t>
  </si>
  <si>
    <t>Chateau Marmont Event Photography.pdf</t>
  </si>
  <si>
    <t>https://drive.google.com/file/d/12MDW1CShuHD7fUYkX5-8NyGMdRh4wTXo/view?usp=sharing</t>
  </si>
  <si>
    <t>Soho House West Hollywood Marketing.pdf</t>
  </si>
  <si>
    <t>https://drive.google.com/file/d/1z0HhWKeh6pnhjIY_PDZ1wkFQEoSPdeE4/view?usp=sharing</t>
  </si>
  <si>
    <t>Greystone Mansion Photo Marketing.pdf</t>
  </si>
  <si>
    <t>https://drive.google.com/file/d/1HOx08dni4CrkBSJAncoozO2mJmZ23qV7/view?usp=sharing</t>
  </si>
  <si>
    <t>The London West Hollywood Photography.pdf</t>
  </si>
  <si>
    <t>https://drive.google.com/file/d/1ULeLuCwtirONuZRBWf4CNyj21bDyVQMk/view?usp=sharing</t>
  </si>
  <si>
    <t>Hammer Museum Event Photography.pdf</t>
  </si>
  <si>
    <t>https://drive.google.com/file/d/1ldQJXnVuzVMGP_RK8FLjWUmfBPAj5A0V/view?usp=sharing</t>
  </si>
  <si>
    <t>Skirball Cultural Center Marketing.pdf</t>
  </si>
  <si>
    <t>https://drive.google.com/file/d/1ZUjn8QZ1uvqwtojpkTKX9o9PpMyv-5U0/view?usp=sharing</t>
  </si>
  <si>
    <t>Vibiana Los Angeles Photo Marketing.pdf</t>
  </si>
  <si>
    <t>https://drive.google.com/file/d/1TveqYbbf61vOanVhn4YmcTwYf0ko__yl/view?usp=sharing</t>
  </si>
  <si>
    <t>The Revery LA Event Photography.pdf</t>
  </si>
  <si>
    <t>https://drive.google.com/file/d/14uevtJScXVfLzV6QNT9eYWQ2i2Nwpk1b/view?usp=sharing</t>
  </si>
  <si>
    <t>Pelican Hill Luxury Brand Photo.pdf</t>
  </si>
  <si>
    <t>https://drive.google.com/file/d/1t0Ml73Rjt9u-Cv-Uhxkxf5K_GHUvTTGk/view?usp=sharing</t>
  </si>
  <si>
    <t>Lombardi House Marketing Photography.pdf</t>
  </si>
  <si>
    <t>https://drive.google.com/file/d/1n-fv9PgrJCz-0D2x7V7i1SwkiojyWGp6/view?usp=sharing</t>
  </si>
  <si>
    <t>Hotel Per La Event Marketing.pdf</t>
  </si>
  <si>
    <t>https://drive.google.com/file/d/1GC3OorFTxY-d5uD3MjNCbKHxb7iQqQ70/view?usp=sharing</t>
  </si>
  <si>
    <t>High Net Worth Photography Services.pdf</t>
  </si>
  <si>
    <t>https://drive.google.com/file/d/1oZC9xDaNwxyiqOfwHmpjbuqY-8MOpKlx/view?usp=sharing</t>
  </si>
  <si>
    <t>Luxury Gala Photography Los Angeles.pdf</t>
  </si>
  <si>
    <t>https://drive.google.com/file/d/1isN93tryHMOFyenFdXBs09snzq7RaZY9/view?usp=sharing</t>
  </si>
  <si>
    <t>Boutique Event Marketing Agency LA.pdf</t>
  </si>
  <si>
    <t>https://drive.google.com/file/d/1xHf-ejZcGvmkO5Tcd6Yuefnnaghso-I4/view?usp=sharing</t>
  </si>
  <si>
    <t>Premium Visual Brand Strategy.pdf</t>
  </si>
  <si>
    <t>https://drive.google.com/file/d/1i3DXtf5DlraZuNxuZ1CwgM9eVvXvRScc/view?usp=sharing</t>
  </si>
  <si>
    <t>Private Estate Event Photography.pdf</t>
  </si>
  <si>
    <t>https://drive.google.com/file/d/10e-b6HXbbJeAKtCAtq0rBO2mHbpHx9gY/view?usp=sharing</t>
  </si>
  <si>
    <t>Elite Corporate Event Marketing.pdf</t>
  </si>
  <si>
    <t>https://drive.google.com/file/d/1VrzqF7bqNRzrzPI1aOSiGkmZNcENmE3a/view?usp=sharing</t>
  </si>
  <si>
    <t>Ultra Luxury Brand Activation LA.pdf</t>
  </si>
  <si>
    <t>https://drive.google.com/file/d/1azbRtDYJxiHpel-ZDrLXiMNuhn9NgwoL/view?usp=sharing</t>
  </si>
  <si>
    <t>The Maybourne Beverly Hills Marketing.pdf</t>
  </si>
  <si>
    <t>https://drive.google.com/file/d/1XoZvQEDN8SfkSN0nY3Uwn1SAofb5qzr2/view?usp=sharing</t>
  </si>
  <si>
    <t>Waldorf Astoria Beverly Hills Photo.pdf</t>
  </si>
  <si>
    <t>https://drive.google.com/file/d/1z30UDMqkzyGu0jrvm_KAWHzZgqqlkY-F/view?usp=sharing</t>
  </si>
  <si>
    <t>The Beverly Hills Hotel Event Marketing.pdf</t>
  </si>
  <si>
    <t>https://drive.google.com/file/d/1ZT4YKrgfwR8clUMy0d1xFT6B4plOf67o/view?usp=sharing</t>
  </si>
  <si>
    <t>The Beverly Hills Hotel Event Marketing-The Beverly Hills Hotel Event Marketing.pdf</t>
  </si>
  <si>
    <t>https://drive.google.com/file/d/1W66mzcD6j4rFGhy6zxXXqcs4Oztw3s4k/view?usp=sharing</t>
  </si>
  <si>
    <t>The Beverly Hills Hotel Event Marketing-Keywords.pdf</t>
  </si>
  <si>
    <t>https://drive.google.com/file/d/1wdHX5ip_HOzv-vFRiTwLALBIYsNomKXM/view?usp=sharing</t>
  </si>
  <si>
    <t>The Beverly Hills Hotel Event Marketing-Content.pdf</t>
  </si>
  <si>
    <t>https://drive.google.com/file/d/1QN9NjP5ra9ZY58pw_Z3Udl-n9xp2tv8_/view?usp=sharing</t>
  </si>
  <si>
    <t>The Beverly Hills Hotel Event Marketing-Calendar Events.pdf</t>
  </si>
  <si>
    <t>https://drive.google.com/file/d/1fgNb7RVZGTgggN72Z-VOSz4VmR2LOVm_/view?usp=sharing</t>
  </si>
  <si>
    <t>The Beverly Hills Hotel Event Marketing-RSS Feeds.pdf</t>
  </si>
  <si>
    <t>https://drive.google.com/file/d/1BCeChWlfdk__QO2zc5tyuA1PvETOTnsU/view?usp=sharing</t>
  </si>
  <si>
    <t>The Beverly Hills Hotel Event Marketing-Iframe Embeds.pdf</t>
  </si>
  <si>
    <t>https://drive.google.com/file/d/1PFviw7AnijQpjWeoA5r96-esd_xMJYSP/view?usp=sharing</t>
  </si>
  <si>
    <t>docx</t>
  </si>
  <si>
    <t>Chateau Marmont Event Photography.docx</t>
  </si>
  <si>
    <t>https://docs.google.com/document/d/1OUxVghVBdUmA6HuvFTrlpkBGkMJaR3iW/edit?usp=sharing&amp;ouid=115602453726005426174&amp;rtpof=true&amp;sd=true</t>
  </si>
  <si>
    <t>Soho House West Hollywood Marketing.docx</t>
  </si>
  <si>
    <t>https://docs.google.com/document/d/12FkSPPVUQEEbjl_ILz9qtdrklsI3Va1J/edit?usp=sharing&amp;ouid=115602453726005426174&amp;rtpof=true&amp;sd=true</t>
  </si>
  <si>
    <t>Greystone Mansion Photo Marketing.docx</t>
  </si>
  <si>
    <t>https://docs.google.com/document/d/1Hd4LggSqsyASpQfWj2TTes_ZgM6kKXLx/edit?usp=sharing&amp;ouid=115602453726005426174&amp;rtpof=true&amp;sd=true</t>
  </si>
  <si>
    <t>The London West Hollywood Photography.docx</t>
  </si>
  <si>
    <t>https://docs.google.com/document/d/12WhYDpZg7lzwKyrNDTs2dyY0DV_nxrEL/edit?usp=sharing&amp;ouid=115602453726005426174&amp;rtpof=true&amp;sd=true</t>
  </si>
  <si>
    <t>Hammer Museum Event Photography.docx</t>
  </si>
  <si>
    <t>https://docs.google.com/document/d/1WnuzxzISOCh2OhMPycnUrEplbF7zrl85/edit?usp=sharing&amp;ouid=115602453726005426174&amp;rtpof=true&amp;sd=true</t>
  </si>
  <si>
    <t>Skirball Cultural Center Marketing.docx</t>
  </si>
  <si>
    <t>https://docs.google.com/document/d/1wg0ZK6AjOaA61NmyRAc-bEIvDSqNsfUr/edit?usp=sharing&amp;ouid=115602453726005426174&amp;rtpof=true&amp;sd=true</t>
  </si>
  <si>
    <t>Vibiana Los Angeles Photo Marketing.docx</t>
  </si>
  <si>
    <t>https://docs.google.com/document/d/1fxTphJIx3zaXerEEfqU2Z6VJC8qTPALv/edit?usp=sharing&amp;ouid=115602453726005426174&amp;rtpof=true&amp;sd=true</t>
  </si>
  <si>
    <t>The Revery LA Event Photography.docx</t>
  </si>
  <si>
    <t>https://docs.google.com/document/d/1r2cqQQDLynBti6u5uMBKg7M_-mKhPMt4/edit?usp=sharing&amp;ouid=115602453726005426174&amp;rtpof=true&amp;sd=true</t>
  </si>
  <si>
    <t>Pelican Hill Luxury Brand Photo.docx</t>
  </si>
  <si>
    <t>https://docs.google.com/document/d/16te6xr0ZAATtsvgH3WU8KeKuFzM3tBCV/edit?usp=sharing&amp;ouid=115602453726005426174&amp;rtpof=true&amp;sd=true</t>
  </si>
  <si>
    <t>Lombardi House Marketing Photography.docx</t>
  </si>
  <si>
    <t>https://docs.google.com/document/d/1iXYbXvre8jaoWJqJ5cZRRRZQvVwRPsFL/edit?usp=sharing&amp;ouid=115602453726005426174&amp;rtpof=true&amp;sd=true</t>
  </si>
  <si>
    <t>Hotel Per La Event Marketing.docx</t>
  </si>
  <si>
    <t>https://docs.google.com/document/d/1PHj4ApC5Vjs7dFvIhvC9FWUrxtyAbyc1/edit?usp=sharing&amp;ouid=115602453726005426174&amp;rtpof=true&amp;sd=true</t>
  </si>
  <si>
    <t>High Net Worth Photography Services.docx</t>
  </si>
  <si>
    <t>https://docs.google.com/document/d/1OmkhxiYOQJLv4XKr4R-4M6TVipNJz7lK/edit?usp=sharing&amp;ouid=115602453726005426174&amp;rtpof=true&amp;sd=true</t>
  </si>
  <si>
    <t>Luxury Gala Photography Los Angeles.docx</t>
  </si>
  <si>
    <t>https://docs.google.com/document/d/1kjPbVrKPtt-FlxUofcpI-UgGz77QVN0J/edit?usp=sharing&amp;ouid=115602453726005426174&amp;rtpof=true&amp;sd=true</t>
  </si>
  <si>
    <t>Boutique Event Marketing Agency LA.docx</t>
  </si>
  <si>
    <t>https://docs.google.com/document/d/1CSBx9L8IdFhenCRSVXqHA-ImYbt6e21m/edit?usp=sharing&amp;ouid=115602453726005426174&amp;rtpof=true&amp;sd=true</t>
  </si>
  <si>
    <t>Premium Visual Brand Strategy.docx</t>
  </si>
  <si>
    <t>https://docs.google.com/document/d/1_62b0BrnEOFcTp71TPdu0U47UziH0VS0/edit?usp=sharing&amp;ouid=115602453726005426174&amp;rtpof=true&amp;sd=true</t>
  </si>
  <si>
    <t>Private Estate Event Photography.docx</t>
  </si>
  <si>
    <t>https://docs.google.com/document/d/19zkj5H2Y0UeX5Wwx2ug7x6CF1W1U5HgZ/edit?usp=sharing&amp;ouid=115602453726005426174&amp;rtpof=true&amp;sd=true</t>
  </si>
  <si>
    <t>Elite Corporate Event Marketing.docx</t>
  </si>
  <si>
    <t>https://docs.google.com/document/d/1F5RR4DrnZkNS_uP35pyjOypeE2XjFjrv/edit?usp=sharing&amp;ouid=115602453726005426174&amp;rtpof=true&amp;sd=true</t>
  </si>
  <si>
    <t>Ultra Luxury Brand Activation LA.docx</t>
  </si>
  <si>
    <t>https://docs.google.com/document/d/1mwqJhn8cqXem_7f5eQ11d2ZoIQV913iO/edit?usp=sharing&amp;ouid=115602453726005426174&amp;rtpof=true&amp;sd=true</t>
  </si>
  <si>
    <t>The Maybourne Beverly Hills Marketing.docx</t>
  </si>
  <si>
    <t>https://docs.google.com/document/d/13KxAhmzBchx184FU5v3VRovdzEdsl4_f/edit?usp=sharing&amp;ouid=115602453726005426174&amp;rtpof=true&amp;sd=true</t>
  </si>
  <si>
    <t>Waldorf Astoria Beverly Hills Photo.docx</t>
  </si>
  <si>
    <t>https://docs.google.com/document/d/1mGcax8NpmEOQQ4RqcE5hWpUhMVZFv-e-/edit?usp=sharing&amp;ouid=115602453726005426174&amp;rtpof=true&amp;sd=true</t>
  </si>
  <si>
    <t>The Beverly Hills Hotel Event Marketing.docx</t>
  </si>
  <si>
    <t>https://docs.google.com/document/d/1tXlnzSzCILkgfudvHFyL2jz9A32FPQLX/edit?usp=sharing&amp;ouid=115602453726005426174&amp;rtpof=true&amp;sd=true</t>
  </si>
  <si>
    <t>odt</t>
  </si>
  <si>
    <t>Chateau Marmont Event Photography.odt</t>
  </si>
  <si>
    <t>https://drive.google.com/file/d/10K44FNT2E6mqLjLBsmQFcZpXUQavny60/view?usp=sharing</t>
  </si>
  <si>
    <t>zip</t>
  </si>
  <si>
    <t>Chateau Marmont Event Photography.zip</t>
  </si>
  <si>
    <t>https://drive.google.com/file/d/1ObzkkpA2x_4rK3QOBHI_yZK2AtnZtVIa/view?usp=sharing</t>
  </si>
  <si>
    <t>epub</t>
  </si>
  <si>
    <t>Chateau Marmont Event Photography.epub</t>
  </si>
  <si>
    <t>https://drive.google.com/file/d/12YYjAYYJ9q4_Zcllo8m6FnTQ0cRzxupv/view?usp=sharing</t>
  </si>
  <si>
    <t>Soho House West Hollywood Marketing.odt</t>
  </si>
  <si>
    <t>https://drive.google.com/file/d/1uR4mPRpfPjzYHmHMj7XgXBPxRTn4KJfP/view?usp=sharing</t>
  </si>
  <si>
    <t>Soho House West Hollywood Marketing.zip</t>
  </si>
  <si>
    <t>https://drive.google.com/file/d/1x3HcI_BnyEXFmAmXdLFNdIKEJcNaXAbT/view?usp=sharing</t>
  </si>
  <si>
    <t>Soho House West Hollywood Marketing.epub</t>
  </si>
  <si>
    <t>https://drive.google.com/file/d/12U-7D4-c6yOkHe6oacj7NOVcjByywNFX/view?usp=sharing</t>
  </si>
  <si>
    <t>Greystone Mansion Photo Marketing.odt</t>
  </si>
  <si>
    <t>https://drive.google.com/file/d/1RtXoIqhaHyRDaQdom1xBkXNz3BGqHC9x/view?usp=sharing</t>
  </si>
  <si>
    <t>Greystone Mansion Photo Marketing.zip</t>
  </si>
  <si>
    <t>https://drive.google.com/file/d/1-Dj3G4h7XpO-MBPii77moCiJ8v05rb2q/view?usp=sharing</t>
  </si>
  <si>
    <t>Greystone Mansion Photo Marketing.epub</t>
  </si>
  <si>
    <t>https://drive.google.com/file/d/1j_IE4SJpGpqylHBN7f4PELm6HRwXwxkP/view?usp=sharing</t>
  </si>
  <si>
    <t>The London West Hollywood Photography.odt</t>
  </si>
  <si>
    <t>https://drive.google.com/file/d/1S4iVIok6g_nzdlmrZ1QihQreAt6FRUCF/view?usp=sharing</t>
  </si>
  <si>
    <t>The London West Hollywood Photography.zip</t>
  </si>
  <si>
    <t>https://drive.google.com/file/d/1JP-uKWYCLJwb6tsXQBDZOdj6sEd7RR-7/view?usp=sharing</t>
  </si>
  <si>
    <t>The London West Hollywood Photography.epub</t>
  </si>
  <si>
    <t>https://drive.google.com/file/d/1gxxWAUdUHdbzO0xisSxCC2KzMtcQuVFd/view?usp=sharing</t>
  </si>
  <si>
    <t>Hammer Museum Event Photography.odt</t>
  </si>
  <si>
    <t>https://drive.google.com/file/d/1HLb3KiUJ_doYfxrcFK7cu5GKa1FjoOU8/view?usp=sharing</t>
  </si>
  <si>
    <t>Hammer Museum Event Photography.zip</t>
  </si>
  <si>
    <t>https://drive.google.com/file/d/1Kb96bZm4DJTrBVJpIeJyIMQlU13Tg3Sx/view?usp=sharing</t>
  </si>
  <si>
    <t>Hammer Museum Event Photography.epub</t>
  </si>
  <si>
    <t>https://drive.google.com/file/d/1ABm9pVjSkf3gVWBsJ1e-puIFQ4hXe63V/view?usp=sharing</t>
  </si>
  <si>
    <t>Skirball Cultural Center Marketing.odt</t>
  </si>
  <si>
    <t>https://drive.google.com/file/d/1Dv8rDhPsBQj08MlgqI8eKe9t6bHtinXn/view?usp=sharing</t>
  </si>
  <si>
    <t>Skirball Cultural Center Marketing.zip</t>
  </si>
  <si>
    <t>https://drive.google.com/file/d/1QfAbtEb7Il3xCxwIxR_GaSetXkz_N-J-/view?usp=sharing</t>
  </si>
  <si>
    <t>Skirball Cultural Center Marketing.epub</t>
  </si>
  <si>
    <t>https://drive.google.com/file/d/1GSZu4-R8hhkGXe7F7RiFmQao_P2wRBEh/view?usp=sharing</t>
  </si>
  <si>
    <t>Vibiana Los Angeles Photo Marketing.odt</t>
  </si>
  <si>
    <t>https://drive.google.com/file/d/1Z4M_amuY4flHgVPW3UxCJcEHXvMU_gyY/view?usp=sharing</t>
  </si>
  <si>
    <t>Vibiana Los Angeles Photo Marketing.zip</t>
  </si>
  <si>
    <t>https://drive.google.com/file/d/1yOV9eeeKbYLS7HcWgKsOSKqlRymmB877/view?usp=sharing</t>
  </si>
  <si>
    <t>Vibiana Los Angeles Photo Marketing.epub</t>
  </si>
  <si>
    <t>https://drive.google.com/file/d/1AVUqobZV3WO6L_ihKFIeIoG8y57uL0Ew/view?usp=sharing</t>
  </si>
  <si>
    <t>The Revery LA Event Photography.odt</t>
  </si>
  <si>
    <t>https://drive.google.com/file/d/1r4SKY9BT4VEeULuXYlOaEfCG4KzJW_KH/view?usp=sharing</t>
  </si>
  <si>
    <t>The Revery LA Event Photography.zip</t>
  </si>
  <si>
    <t>https://drive.google.com/file/d/14i62jMntKx4h4LKQdbyDPmmkQSv1_KZ4/view?usp=sharing</t>
  </si>
  <si>
    <t>The Revery LA Event Photography.epub</t>
  </si>
  <si>
    <t>https://drive.google.com/file/d/16StHDfQacxYDcwyAQjKACWRXh3AIGW6N/view?usp=sharing</t>
  </si>
  <si>
    <t>Pelican Hill Luxury Brand Photo.odt</t>
  </si>
  <si>
    <t>https://drive.google.com/file/d/1nOZP7CrRpdSmYmxV7wHjy18RMBIoMtPg/view?usp=sharing</t>
  </si>
  <si>
    <t>Pelican Hill Luxury Brand Photo.zip</t>
  </si>
  <si>
    <t>https://drive.google.com/file/d/1pAjV-q5bwNVKJmE9dGrMm197RHsqNL83/view?usp=sharing</t>
  </si>
  <si>
    <t>Pelican Hill Luxury Brand Photo.epub</t>
  </si>
  <si>
    <t>https://drive.google.com/file/d/1POnG9W4e8mJGGBQEq3-DZ1qXR_QPJ6Ld/view?usp=sharing</t>
  </si>
  <si>
    <t>Lombardi House Marketing Photography.odt</t>
  </si>
  <si>
    <t>https://drive.google.com/file/d/1MHuCeoZe4qree6YzzxPTjNzjn-LG8sp9/view?usp=sharing</t>
  </si>
  <si>
    <t>Lombardi House Marketing Photography.zip</t>
  </si>
  <si>
    <t>https://drive.google.com/file/d/1-HylS_5OfCUpmC9szufhcNysQ-9ovrWG/view?usp=sharing</t>
  </si>
  <si>
    <t>Lombardi House Marketing Photography.epub</t>
  </si>
  <si>
    <t>https://drive.google.com/file/d/1PmSC9qcDy-fgg0mXUhNXgeGIYE-1m_H4/view?usp=sharing</t>
  </si>
  <si>
    <t>Hotel Per La Event Marketing.odt</t>
  </si>
  <si>
    <t>https://drive.google.com/file/d/1ukttbM8qh05m07i-hQq0nk3CgSL-frcF/view?usp=sharing</t>
  </si>
  <si>
    <t>Hotel Per La Event Marketing.zip</t>
  </si>
  <si>
    <t>https://drive.google.com/file/d/1IonOPkz7SaN5L1gJnjKVe9BSNQW7lYsl/view?usp=sharing</t>
  </si>
  <si>
    <t>Hotel Per La Event Marketing.epub</t>
  </si>
  <si>
    <t>https://drive.google.com/file/d/1OtmmiWtsfFgROwjAV55Pfofm40hSgX4h/view?usp=sharing</t>
  </si>
  <si>
    <t>High Net Worth Photography Services.odt</t>
  </si>
  <si>
    <t>https://drive.google.com/file/d/1-Q3URQxjXq-gdkVlyLKoIJWN6JwYTHPs/view?usp=sharing</t>
  </si>
  <si>
    <t>High Net Worth Photography Services.zip</t>
  </si>
  <si>
    <t>https://drive.google.com/file/d/1V78mhwctkrsHWOOjCZ5bcYM46qA7-XVr/view?usp=sharing</t>
  </si>
  <si>
    <t>High Net Worth Photography Services.epub</t>
  </si>
  <si>
    <t>https://drive.google.com/file/d/1rr3j7DfZZ8z9u5C-pJB8Rn1wM-g-aWV6/view?usp=sharing</t>
  </si>
  <si>
    <t>Luxury Gala Photography Los Angeles.odt</t>
  </si>
  <si>
    <t>https://drive.google.com/file/d/1kElSSjmK9GQD7j5aFrfgdcjPHYL7byi2/view?usp=sharing</t>
  </si>
  <si>
    <t>Luxury Gala Photography Los Angeles.zip</t>
  </si>
  <si>
    <t>https://drive.google.com/file/d/1Zbkn9b0iujvtJ0cZYM9W4wJUd0f2zp_9/view?usp=sharing</t>
  </si>
  <si>
    <t>Luxury Gala Photography Los Angeles.epub</t>
  </si>
  <si>
    <t>https://drive.google.com/file/d/1xNIA8OfdbHCrA0SQ2QPJWmDZ9tpns9H9/view?usp=sharing</t>
  </si>
  <si>
    <t>Boutique Event Marketing Agency LA.odt</t>
  </si>
  <si>
    <t>https://drive.google.com/file/d/1KOgnzwNyGj1SV2LJVeaviM7Drul9Pwvi/view?usp=sharing</t>
  </si>
  <si>
    <t>Boutique Event Marketing Agency LA.zip</t>
  </si>
  <si>
    <t>https://drive.google.com/file/d/1pk1UcyjAMj6kbSr7Xq-iZF4L20Qfj0TM/view?usp=sharing</t>
  </si>
  <si>
    <t>Boutique Event Marketing Agency LA.epub</t>
  </si>
  <si>
    <t>https://drive.google.com/file/d/1dJGPaXJ2gjmD_YEPGsd3q-EBgYnBnYjf/view?usp=sharing</t>
  </si>
  <si>
    <t>Premium Visual Brand Strategy.odt</t>
  </si>
  <si>
    <t>https://drive.google.com/file/d/1E3dWLqQXdr1xNXaefnig1T2q2SX5CNrU/view?usp=sharing</t>
  </si>
  <si>
    <t>Premium Visual Brand Strategy.zip</t>
  </si>
  <si>
    <t>https://drive.google.com/file/d/17d8_8md5c_wL3sbtq5Iws70SR-MDr6si/view?usp=sharing</t>
  </si>
  <si>
    <t>Premium Visual Brand Strategy.epub</t>
  </si>
  <si>
    <t>https://drive.google.com/file/d/1LzZ3PeyyjQATomzCszRlnHtT0-rSMRoP/view?usp=sharing</t>
  </si>
  <si>
    <t>Private Estate Event Photography.odt</t>
  </si>
  <si>
    <t>https://drive.google.com/file/d/1hbX8veO0YZ0AYR-UxTgyqe59bJuERJAA/view?usp=sharing</t>
  </si>
  <si>
    <t>Private Estate Event Photography.zip</t>
  </si>
  <si>
    <t>https://drive.google.com/file/d/1f4Uq7_QkdKMJHDmqmZfj0u2HCOySlSye/view?usp=sharing</t>
  </si>
  <si>
    <t>Private Estate Event Photography.epub</t>
  </si>
  <si>
    <t>https://drive.google.com/file/d/157qQGTTZP4PtIn9P6ds61KrS6gipjaMK/view?usp=sharing</t>
  </si>
  <si>
    <t>Elite Corporate Event Marketing.odt</t>
  </si>
  <si>
    <t>https://drive.google.com/file/d/1qHrdAlmTfobHrojYkgA0bPgWrGBKbsUp/view?usp=sharing</t>
  </si>
  <si>
    <t>Elite Corporate Event Marketing.zip</t>
  </si>
  <si>
    <t>https://drive.google.com/file/d/1UE_iUvC12rhteVBlDkdode9xCo-iLDFU/view?usp=sharing</t>
  </si>
  <si>
    <t>Elite Corporate Event Marketing.epub</t>
  </si>
  <si>
    <t>https://drive.google.com/file/d/1x53uU6BspJal8z74T2iMkfISpI_jha-W/view?usp=sharing</t>
  </si>
  <si>
    <t>Ultra Luxury Brand Activation LA.odt</t>
  </si>
  <si>
    <t>https://drive.google.com/file/d/1BtrRHPSs7uI14oy2IOLXQkPUAsSmocXE/view?usp=sharing</t>
  </si>
  <si>
    <t>Ultra Luxury Brand Activation LA.zip</t>
  </si>
  <si>
    <t>https://drive.google.com/file/d/1mm-_n-Oz8XVl9PS775WV5-f-K9xINd2k/view?usp=sharing</t>
  </si>
  <si>
    <t>Ultra Luxury Brand Activation LA.epub</t>
  </si>
  <si>
    <t>https://drive.google.com/file/d/1Z5Skpu-6FCcladJJ0woDTa7Ul0Bo5rzn/view?usp=sharing</t>
  </si>
  <si>
    <t>The Maybourne Beverly Hills Marketing.odt</t>
  </si>
  <si>
    <t>https://drive.google.com/file/d/1GwGZ_mY18wjS8bkXQ40RaqX0XQCyBd8S/view?usp=sharing</t>
  </si>
  <si>
    <t>The Maybourne Beverly Hills Marketing.zip</t>
  </si>
  <si>
    <t>https://drive.google.com/file/d/1AYaEq97nASbvB6nxWwEveMsGt4IHB5uE/view?usp=sharing</t>
  </si>
  <si>
    <t>The Maybourne Beverly Hills Marketing.epub</t>
  </si>
  <si>
    <t>https://drive.google.com/file/d/1JWmV85c4S0lG9HNFbrEwLfDQmZDDbehE/view?usp=sharing</t>
  </si>
  <si>
    <t>Waldorf Astoria Beverly Hills Photo.odt</t>
  </si>
  <si>
    <t>https://drive.google.com/file/d/1Ag08Y9rZ15AlzMsoSWX-aeOlWo531c5L/view?usp=sharing</t>
  </si>
  <si>
    <t>Waldorf Astoria Beverly Hills Photo.zip</t>
  </si>
  <si>
    <t>https://drive.google.com/file/d/1ya9xkNifVmdI1tkfgR-hxc3QV5j2m39y/view?usp=sharing</t>
  </si>
  <si>
    <t>Waldorf Astoria Beverly Hills Photo.epub</t>
  </si>
  <si>
    <t>https://drive.google.com/file/d/1KDxsLCvqUnIO3E1Xhogn_cUOw7S-_EkS/view?usp=sharing</t>
  </si>
  <si>
    <t>The Beverly Hills Hotel Event Marketing.odt</t>
  </si>
  <si>
    <t>https://drive.google.com/file/d/1RWtZj0us4V8yizlP0HWTbeFpF0Ju9sWR/view?usp=sharing</t>
  </si>
  <si>
    <t>The Beverly Hills Hotel Event Marketing.zip</t>
  </si>
  <si>
    <t>https://drive.google.com/file/d/1aZNYoW19kacNbJTa2tA1nphpGYMD-nMD/view?usp=sharing</t>
  </si>
  <si>
    <t>The Beverly Hills Hotel Event Marketing.epub</t>
  </si>
  <si>
    <t>https://drive.google.com/file/d/13KOmjp34BExACVXY94EmvzkW9UG9pw1f/view?usp=sharing</t>
  </si>
  <si>
    <t>blogger#post</t>
  </si>
  <si>
    <t>https://costamesa360photoboothrental.blogspot.com/2026/03/the-beverly-hills-hotel-event-marketing.html</t>
  </si>
  <si>
    <t>https://costamesa360photoboothrental.blogspot.com/2026/03/waldorf-astoria-beverly-hills-photo.html</t>
  </si>
  <si>
    <t>https://costamesa360photoboothrental.blogspot.com/2026/03/the-maybourne-beverly-hills-marketing.html</t>
  </si>
  <si>
    <t>https://costamesa360photoboothrental.blogspot.com/2026/03/chateau-marmont-event-photography.html</t>
  </si>
  <si>
    <t>https://costamesa360photoboothrental.blogspot.com/2026/03/soho-house-west-hollywood-marketing.html</t>
  </si>
  <si>
    <t>https://costamesa360photoboothrental.blogspot.com/2026/03/high-net-worth-photography-services.html</t>
  </si>
  <si>
    <t>https://costamesa360photoboothrental.blogspot.com/2026/03/luxury-gala-photography-los-angeles.html</t>
  </si>
  <si>
    <t>https://costamesa360photoboothrental.blogspot.com/2026/03/boutique-event-marketing-agency-la.html</t>
  </si>
  <si>
    <t>https://costamesa360photoboothrental.blogspot.com/2026/03/premium-visual-brand-strategy.html</t>
  </si>
  <si>
    <t>https://costamesa360photoboothrental.blogspot.com/2026/03/private-estate-event-photography.html</t>
  </si>
  <si>
    <t>https://ddigitalorbit360orangecounty.blogspot.com/2026/03/the-beverly-hills-hotel-event-marketing.html</t>
  </si>
  <si>
    <t>https://ddigitalorbit360orangecounty.blogspot.com/2026/03/waldorf-astoria-beverly-hills-photo.html</t>
  </si>
  <si>
    <t>https://ddigitalorbit360orangecounty.blogspot.com/2026/03/the-maybourne-beverly-hills-marketing.html</t>
  </si>
  <si>
    <t>https://ddigitalorbit360orangecounty.blogspot.com/2026/03/chateau-marmont-event-photography.html</t>
  </si>
  <si>
    <t>https://ddigitalorbit360orangecounty.blogspot.com/2026/03/soho-house-west-hollywood-marketing.html</t>
  </si>
  <si>
    <t>https://ddigitalorbit360orangecounty.blogspot.com/2026/03/greystone-mansion-photo-marketing.html</t>
  </si>
  <si>
    <t>https://ddigitalorbit360orangecounty.blogspot.com/2026/03/the-london-west-hollywood-photography.html</t>
  </si>
  <si>
    <t>https://ddigitalorbit360orangecounty.blogspot.com/2026/03/hammer-museum-event-photography.html</t>
  </si>
  <si>
    <t>https://ddigitalorbit360orangecounty.blogspot.com/2026/03/skirball-cultural-center-marketing.html</t>
  </si>
  <si>
    <t>https://ddigitalorbit360orangecounty.blogspot.com/2026/03/private-estate-event-photography.html</t>
  </si>
  <si>
    <t>https://ddigitalorbit360orangecounty.blogspot.com/2026/03/elite-corporate-event-marketing.html</t>
  </si>
  <si>
    <t>https://ddigitalorbit360orangecounty.blogspot.com/2026/03/ultra-luxury-brand-activation-la.html</t>
  </si>
  <si>
    <t>https://photoboothrentalhuntingtonbeach.blogspot.com/2026/03/the-beverly-hills-hotel-event-marketing.html</t>
  </si>
  <si>
    <t>https://photoboothrentalhuntingtonbeach.blogspot.com/2026/03/waldorf-astoria-beverly-hills-photo.html</t>
  </si>
  <si>
    <t>https://photoboothrentalhuntingtonbeach.blogspot.com/2026/03/the-maybourne-beverly-hills-marketing.html</t>
  </si>
  <si>
    <t>https://photoboothrentalhuntingtonbeach.blogspot.com/2026/03/chateau-marmont-event-photography.html</t>
  </si>
  <si>
    <t>https://photoboothrentalhuntingtonbeach.blogspot.com/2026/03/soho-house-west-hollywood-marketing.html</t>
  </si>
  <si>
    <t>https://photoboothrentalhuntingtonbeach.blogspot.com/2026/03/high-net-worth-photography-services.html</t>
  </si>
  <si>
    <t>https://photoboothrentalhuntingtonbeach.blogspot.com/2026/03/luxury-gala-photography-los-angeles.html</t>
  </si>
  <si>
    <t>https://photoboothrentalhuntingtonbeach.blogspot.com/2026/03/boutique-event-marketing-agency-la.html</t>
  </si>
  <si>
    <t>https://photoboothrentalhuntingtonbeach.blogspot.com/2026/03/premium-visual-brand-strategy.html</t>
  </si>
  <si>
    <t>https://photoboothrentalhuntingtonbeach.blogspot.com/2026/03/private-estate-event-photography.html</t>
  </si>
  <si>
    <t>https://gifphotoboothrentalorangecounty.blogspot.com/2026/03/the-beverly-hills-hotel-event-marketing.html</t>
  </si>
  <si>
    <t>https://gifphotoboothrentalorangecounty.blogspot.com/2026/03/waldorf-astoria-beverly-hills-photo.html</t>
  </si>
  <si>
    <t>https://gifphotoboothrentalorangecounty.blogspot.com/2026/03/the-maybourne-beverly-hills-marketing.html</t>
  </si>
  <si>
    <t>https://gifphotoboothrentalorangecounty.blogspot.com/2026/03/chateau-marmont-event-photography.html</t>
  </si>
  <si>
    <t>https://gifphotoboothrentalorangecounty.blogspot.com/2026/03/soho-house-west-hollywood-marketing.html</t>
  </si>
  <si>
    <t>https://gifphotoboothrentalorangecounty.blogspot.com/2026/03/greystone-mansion-photo-marketing.html</t>
  </si>
  <si>
    <t>https://gifphotoboothrentalorangecounty.blogspot.com/2026/03/the-london-west-hollywood-photography.html</t>
  </si>
  <si>
    <t>https://gifphotoboothrentalorangecounty.blogspot.com/2026/03/hammer-museum-event-photography.html</t>
  </si>
  <si>
    <t>https://gifphotoboothrentalorangecounty.blogspot.com/2026/03/skirball-cultural-center-marketing.html</t>
  </si>
  <si>
    <t>https://gifphotoboothrentalorangecounty.blogspot.com/2026/03/private-estate-event-photography.html</t>
  </si>
  <si>
    <t>https://gifphotoboothrentalorangecounty.blogspot.com/2026/03/elite-corporate-event-marketing.html</t>
  </si>
  <si>
    <t>https://gifphotoboothrentalorangecounty.blogspot.com/2026/03/ultra-luxury-brand-activation-la.html</t>
  </si>
  <si>
    <t>https://glamfilterphotobooth.blogspot.com/2026/03/the-beverly-hills-hotel-event-marketing.html</t>
  </si>
  <si>
    <t>https://glamfilterphotobooth.blogspot.com/2026/03/waldorf-astoria-beverly-hills-photo.html</t>
  </si>
  <si>
    <t>https://glamfilterphotobooth.blogspot.com/2026/03/the-maybourne-beverly-hills-marketing.html</t>
  </si>
  <si>
    <t>https://glamfilterphotobooth.blogspot.com/2026/03/chateau-marmont-event-photography.html</t>
  </si>
  <si>
    <t>https://glamfilterphotobooth.blogspot.com/2026/03/soho-house-west-hollywood-marketing.html</t>
  </si>
  <si>
    <t>https://glamfilterphotobooth.blogspot.com/2026/03/the-revery-la-event-photography.html</t>
  </si>
  <si>
    <t>https://glamfilterphotobooth.blogspot.com/2026/03/pelican-hill-luxury-brand-photo.html</t>
  </si>
  <si>
    <t>https://glamfilterphotobooth.blogspot.com/2026/03/lombardi-house-marketing-photography.html</t>
  </si>
  <si>
    <t>https://glamfilterphotobooth.blogspot.com/2026/03/hotel-per-la-event-marketing.html</t>
  </si>
  <si>
    <t>https://glamfilterphotobooth.blogspot.com/2026/03/high-net-worth-photography-services.html</t>
  </si>
  <si>
    <t>https://luckyfrogvideoboothoc.blogspot.com/2026/03/the-beverly-hills-hotel-event-marketing.html</t>
  </si>
  <si>
    <t>https://luckyfrogvideoboothoc.blogspot.com/2026/03/waldorf-astoria-beverly-hills-photo.html</t>
  </si>
  <si>
    <t>https://luckyfrogvideoboothoc.blogspot.com/2026/03/the-maybourne-beverly-hills-marketing.html</t>
  </si>
  <si>
    <t>https://luckyfrogvideoboothoc.blogspot.com/2026/03/chateau-marmont-event-photography.html</t>
  </si>
  <si>
    <t>https://luckyfrogvideoboothoc.blogspot.com/2026/03/soho-house-west-hollywood-marketing.html</t>
  </si>
  <si>
    <t>https://luckyfrogvideoboothoc.blogspot.com/2026/03/hammer-museum-event-photography.html</t>
  </si>
  <si>
    <t>https://luckyfrogvideoboothoc.blogspot.com/2026/03/skirball-cultural-center-marketing.html</t>
  </si>
  <si>
    <t>https://luckyfrogvideoboothoc.blogspot.com/2026/03/vibiana-los-angeles-photo-marketing.html</t>
  </si>
  <si>
    <t>https://luckyfrogvideoboothoc.blogspot.com/2026/03/the-revery-la-event-photography.html</t>
  </si>
  <si>
    <t>https://luckyfrogvideoboothoc.blogspot.com/2026/03/pelican-hill-luxury-brand-photo.html</t>
  </si>
  <si>
    <t>https://luckyfrogvideoboothoc.blogspot.com/2026/03/ultra-luxury-brand-activation-la.html</t>
  </si>
  <si>
    <t>https://partysnapsphotoboothoc.blogspot.com/2026/03/the-beverly-hills-hotel-event-marketing.html</t>
  </si>
  <si>
    <t>https://partysnapsphotoboothoc.blogspot.com/2026/03/waldorf-astoria-beverly-hills-photo.html</t>
  </si>
  <si>
    <t>https://partysnapsphotoboothoc.blogspot.com/2026/03/the-maybourne-beverly-hills-marketing.html</t>
  </si>
  <si>
    <t>https://partysnapsphotoboothoc.blogspot.com/2026/03/chateau-marmont-event-photography.html</t>
  </si>
  <si>
    <t>https://partysnapsphotoboothoc.blogspot.com/2026/03/soho-house-west-hollywood-marketing.html</t>
  </si>
  <si>
    <t>https://partysnapsphotoboothoc.blogspot.com/2026/03/the-revery-la-event-photography.html</t>
  </si>
  <si>
    <t>https://partysnapsphotoboothoc.blogspot.com/2026/03/pelican-hill-luxury-brand-photo.html</t>
  </si>
  <si>
    <t>https://partysnapsphotoboothoc.blogspot.com/2026/03/lombardi-house-marketing-photography.html</t>
  </si>
  <si>
    <t>https://partysnapsphotoboothoc.blogspot.com/2026/03/hotel-per-la-event-marketing.html</t>
  </si>
  <si>
    <t>https://partysnapsphotoboothoc.blogspot.com/2026/03/high-net-worth-photography-services.html</t>
  </si>
  <si>
    <t>https://photoboothrentalorangecountyevent.blogspot.com/2026/03/the-beverly-hills-hotel-event-marketing.html</t>
  </si>
  <si>
    <t>https://photoboothrentalorangecountyevent.blogspot.com/2026/03/waldorf-astoria-beverly-hills-photo.html</t>
  </si>
  <si>
    <t>https://photoboothrentalorangecountyevent.blogspot.com/2026/03/the-maybourne-beverly-hills-marketing.html</t>
  </si>
  <si>
    <t>https://photoboothrentalorangecountyevent.blogspot.com/2026/03/chateau-marmont-event-photography.html</t>
  </si>
  <si>
    <t>https://photoboothrentalorangecountyevent.blogspot.com/2026/03/soho-house-west-hollywood-marketing.html</t>
  </si>
  <si>
    <t>https://photoboothrentalorangecountyevent.blogspot.com/2026/03/lombardi-house-marketing-photography.html</t>
  </si>
  <si>
    <t>https://photoboothrentalorangecountyevent.blogspot.com/2026/03/hotel-per-la-event-marketing.html</t>
  </si>
  <si>
    <t>https://photoboothrentalorangecountyevent.blogspot.com/2026/03/high-net-worth-photography-services.html</t>
  </si>
  <si>
    <t>https://photoboothrentalorangecountyevent.blogspot.com/2026/03/luxury-gala-photography-los-angeles.html</t>
  </si>
  <si>
    <t>https://photoboothrentalorangecountyevent.blogspot.com/2026/03/boutique-event-marketing-agency-la.html</t>
  </si>
  <si>
    <t>https://photoboothrentalfullerton.blogspot.com/2026/03/the-beverly-hills-hotel-event-marketing.html</t>
  </si>
  <si>
    <t>https://photoboothrentalfullerton.blogspot.com/2026/03/waldorf-astoria-beverly-hills-photo.html</t>
  </si>
  <si>
    <t>https://photoboothrentalfullerton.blogspot.com/2026/03/the-maybourne-beverly-hills-marketing.html</t>
  </si>
  <si>
    <t>https://photoboothrentalfullerton.blogspot.com/2026/03/chateau-marmont-event-photography.html</t>
  </si>
  <si>
    <t>https://photoboothrentalfullerton.blogspot.com/2026/03/soho-house-west-hollywood-marketing.html</t>
  </si>
  <si>
    <t>https://photoboothrentalfullerton.blogspot.com/2026/03/greystone-mansion-photo-marketing.html</t>
  </si>
  <si>
    <t>https://360photoboothrentalinorangecounty.blogspot.com/2026/04/the-beverly-hills-hotel-event-marketing.html</t>
  </si>
  <si>
    <t>https://360photoboothrentalinorangecounty.blogspot.com/2026/04/waldorf-astoria-beverly-hills-photo.html</t>
  </si>
  <si>
    <t>https://360photoboothrentalinorangecounty.blogspot.com/2026/04/the-maybourne-beverly-hills-marketing.html</t>
  </si>
  <si>
    <t>https://360photoboothrentalinorangecounty.blogspot.com/2026/04/chateau-marmont-event-photography.html</t>
  </si>
  <si>
    <t>https://360photoboothrentalinorangecounty.blogspot.com/2026/04/soho-house-west-hollywood-marketing.html</t>
  </si>
  <si>
    <t>https://360photoboothrentalinorangecounty.blogspot.com/2026/04/luxury-gala-photography-los-angeles.html</t>
  </si>
  <si>
    <t>https://360photoboothrentalinorangecounty.blogspot.com/2026/04/boutique-event-marketing-agency-la.html</t>
  </si>
  <si>
    <t>https://360photoboothrentalinorangecounty.blogspot.com/2026/04/premium-visual-brand-strategy.html</t>
  </si>
  <si>
    <t>https://360photoboothrentalinorangecounty.blogspot.com/2026/04/private-estate-event-photography.html</t>
  </si>
  <si>
    <t>https://360photoboothrentalinorangecounty.blogspot.com/2026/04/elite-corporate-event-marketing.html</t>
  </si>
  <si>
    <t>https://costamesa360photoboothrental.blogspot.com/2026/04/the-beverly-hills-hotel-event-marketing.html</t>
  </si>
  <si>
    <t>https://costamesa360photoboothrental.blogspot.com/2026/04/waldorf-astoria-beverly-hills-photo.html</t>
  </si>
  <si>
    <t>https://costamesa360photoboothrental.blogspot.com/2026/04/the-maybourne-beverly-hills-marketing.html</t>
  </si>
  <si>
    <t>https://costamesa360photoboothrental.blogspot.com/2026/04/chateau-marmont-event-photography.html</t>
  </si>
  <si>
    <t>https://costamesa360photoboothrental.blogspot.com/2026/04/soho-house-west-hollywood-marketing.html</t>
  </si>
  <si>
    <t>https://costamesa360photoboothrental.blogspot.com/2026/04/greystone-mansion-photo-marketing.html</t>
  </si>
  <si>
    <t>https://costamesa360photoboothrental.blogspot.com/2026/04/high-net-worth-photography-services.html</t>
  </si>
  <si>
    <t>https://costamesa360photoboothrental.blogspot.com/2026/04/luxury-gala-photography-los-angeles.html</t>
  </si>
  <si>
    <t>https://costamesa360photoboothrental.blogspot.com/2026/04/boutique-event-marketing-agency-la.html</t>
  </si>
  <si>
    <t>https://costamesa360photoboothrental.blogspot.com/2026/04/premium-visual-brand-strategy.html</t>
  </si>
  <si>
    <t>https://costamesa360photoboothrental.blogspot.com/2026/04/private-estate-event-photography.html</t>
  </si>
  <si>
    <t>https://ddigitalorbit360orangecounty.blogspot.com/2026/04/the-beverly-hills-hotel-event-marketing.html</t>
  </si>
  <si>
    <t>https://ddigitalorbit360orangecounty.blogspot.com/2026/04/waldorf-astoria-beverly-hills-photo.html</t>
  </si>
  <si>
    <t>https://ddigitalorbit360orangecounty.blogspot.com/2026/04/the-maybourne-beverly-hills-marketing.html</t>
  </si>
  <si>
    <t>https://ddigitalorbit360orangecounty.blogspot.com/2026/04/chateau-marmont-event-photography.html</t>
  </si>
  <si>
    <t>https://ddigitalorbit360orangecounty.blogspot.com/2026/04/soho-house-west-hollywood-marketing.html</t>
  </si>
  <si>
    <t>https://ddigitalorbit360orangecounty.blogspot.com/2026/04/hotel-per-la-event-marketing.html</t>
  </si>
  <si>
    <t>https://ddigitalorbit360orangecounty.blogspot.com/2026/04/high-net-worth-photography-services.html</t>
  </si>
  <si>
    <t>https://ddigitalorbit360orangecounty.blogspot.com/2026/04/luxury-gala-photography-los-angeles.html</t>
  </si>
  <si>
    <t>https://ddigitalorbit360orangecounty.blogspot.com/2026/04/boutique-event-marketing-agency-la.html</t>
  </si>
  <si>
    <t>https://ddigitalorbit360orangecounty.blogspot.com/2026/04/premium-visual-brand-strategy.html</t>
  </si>
  <si>
    <t>https://photoboothrentalhuntingtonbeach.blogspot.com/2026/04/the-beverly-hills-hotel-event-marketing.html</t>
  </si>
  <si>
    <t>https://photoboothrentalhuntingtonbeach.blogspot.com/2026/04/waldorf-astoria-beverly-hills-photo.html</t>
  </si>
  <si>
    <t>https://photoboothrentalhuntingtonbeach.blogspot.com/2026/04/the-maybourne-beverly-hills-marketing.html</t>
  </si>
  <si>
    <t>https://photoboothrentalhuntingtonbeach.blogspot.com/2026/04/chateau-marmont-event-photography.html</t>
  </si>
  <si>
    <t>https://photoboothrentalhuntingtonbeach.blogspot.com/2026/04/soho-house-west-hollywood-marketing.html</t>
  </si>
  <si>
    <t>https://photoboothrentalhuntingtonbeach.blogspot.com/2026/04/high-net-worth-photography-services.html</t>
  </si>
  <si>
    <t>https://photoboothrentalhuntingtonbeach.blogspot.com/2026/04/luxury-gala-photography-los-angeles.html</t>
  </si>
  <si>
    <t>https://photoboothrentalhuntingtonbeach.blogspot.com/2026/04/boutique-event-marketing-agency-la.html</t>
  </si>
  <si>
    <t>https://photoboothrentalhuntingtonbeach.blogspot.com/2026/04/premium-visual-brand-strategy.html</t>
  </si>
  <si>
    <t>https://photoboothrentalhuntingtonbeach.blogspot.com/2026/04/private-estate-event-photography.html</t>
  </si>
  <si>
    <t>https://gifphotoboothrentalorangecounty.blogspot.com/2026/04/the-beverly-hills-hotel-event-marketing.html</t>
  </si>
  <si>
    <t>https://gifphotoboothrentalorangecounty.blogspot.com/2026/04/waldorf-astoria-beverly-hills-photo.html</t>
  </si>
  <si>
    <t>https://gifphotoboothrentalorangecounty.blogspot.com/2026/04/the-maybourne-beverly-hills-marketing.html</t>
  </si>
  <si>
    <t>https://gifphotoboothrentalorangecounty.blogspot.com/2026/04/chateau-marmont-event-photography.html</t>
  </si>
  <si>
    <t>https://gifphotoboothrentalorangecounty.blogspot.com/2026/04/soho-house-west-hollywood-marketing.html</t>
  </si>
  <si>
    <t>https://gifphotoboothrentalorangecounty.blogspot.com/2026/04/hotel-per-la-event-marketing.html</t>
  </si>
  <si>
    <t>https://gifphotoboothrentalorangecounty.blogspot.com/2026/04/high-net-worth-photography-services.html</t>
  </si>
  <si>
    <t>https://gifphotoboothrentalorangecounty.blogspot.com/2026/04/luxury-gala-photography-los-angeles.html</t>
  </si>
  <si>
    <t>https://gifphotoboothrentalorangecounty.blogspot.com/2026/04/boutique-event-marketing-agency-la.html</t>
  </si>
  <si>
    <t>https://gifphotoboothrentalorangecounty.blogspot.com/2026/04/premium-visual-brand-strategy.html</t>
  </si>
  <si>
    <t>https://glamfilterphotobooth.blogspot.com/2026/04/the-beverly-hills-hotel-event-marketing.html</t>
  </si>
  <si>
    <t>https://glamfilterphotobooth.blogspot.com/2026/04/waldorf-astoria-beverly-hills-photo.html</t>
  </si>
  <si>
    <t>https://glamfilterphotobooth.blogspot.com/2026/04/the-maybourne-beverly-hills-marketing.html</t>
  </si>
  <si>
    <t>https://glamfilterphotobooth.blogspot.com/2026/04/chateau-marmont-event-photography.html</t>
  </si>
  <si>
    <t>https://glamfilterphotobooth.blogspot.com/2026/04/soho-house-west-hollywood-marketing.html</t>
  </si>
  <si>
    <t>https://glamfilterphotobooth.blogspot.com/2026/04/lombardi-house-marketing-photography.html</t>
  </si>
  <si>
    <t>https://glamfilterphotobooth.blogspot.com/2026/04/hotel-per-la-event-marketing.html</t>
  </si>
  <si>
    <t>https://glamfilterphotobooth.blogspot.com/2026/04/high-net-worth-photography-services.html</t>
  </si>
  <si>
    <t>https://glamfilterphotobooth.blogspot.com/2026/04/luxury-gala-photography-los-angeles.html</t>
  </si>
  <si>
    <t>https://glamfilterphotobooth.blogspot.com/2026/04/boutique-event-marketing-agency-la.html</t>
  </si>
  <si>
    <t>https://partysnapsphotoboothoc.blogspot.com/2026/04/the-beverly-hills-hotel-event-marketing.html</t>
  </si>
  <si>
    <t>https://partysnapsphotoboothoc.blogspot.com/2026/04/waldorf-astoria-beverly-hills-photo.html</t>
  </si>
  <si>
    <t>https://partysnapsphotoboothoc.blogspot.com/2026/04/the-maybourne-beverly-hills-marketing.html</t>
  </si>
  <si>
    <t>https://partysnapsphotoboothoc.blogspot.com/2026/04/chateau-marmont-event-photography.html</t>
  </si>
  <si>
    <t>https://partysnapsphotoboothoc.blogspot.com/2026/04/soho-house-west-hollywood-marketing.html</t>
  </si>
  <si>
    <t>https://partysnapsphotoboothoc.blogspot.com/2026/04/the-revery-la-event-photography.html</t>
  </si>
  <si>
    <t>https://partysnapsphotoboothoc.blogspot.com/2026/04/pelican-hill-luxury-brand-photo.html</t>
  </si>
  <si>
    <t>https://partysnapsphotoboothoc.blogspot.com/2026/04/lombardi-house-marketing-photography.html</t>
  </si>
  <si>
    <t>https://partysnapsphotoboothoc.blogspot.com/2026/04/hotel-per-la-event-marketing.html</t>
  </si>
  <si>
    <t>https://partysnapsphotoboothoc.blogspot.com/2026/04/high-net-worth-photography-services.html</t>
  </si>
  <si>
    <t>https://photoboothrentalorangecountyevent.blogspot.com/2026/04/the-beverly-hills-hotel-event-marketing.html</t>
  </si>
  <si>
    <t>https://photoboothrentalorangecountyevent.blogspot.com/2026/04/waldorf-astoria-beverly-hills-photo.html</t>
  </si>
  <si>
    <t>https://photoboothrentalorangecountyevent.blogspot.com/2026/04/the-maybourne-beverly-hills-marketing.html</t>
  </si>
  <si>
    <t>https://photoboothrentalorangecountyevent.blogspot.com/2026/04/chateau-marmont-event-photography.html</t>
  </si>
  <si>
    <t>https://photoboothrentalorangecountyevent.blogspot.com/2026/04/soho-house-west-hollywood-marketing.html</t>
  </si>
  <si>
    <t>https://photoboothrentalorangecountyevent.blogspot.com/2026/04/vibiana-los-angeles-photo-marketing.html</t>
  </si>
  <si>
    <t>https://photoboothrentalorangecountyevent.blogspot.com/2026/04/pelican-hill-luxury-brand-photo.html</t>
  </si>
  <si>
    <t>https://photoboothrentalorangecountyevent.blogspot.com/2026/04/lombardi-house-marketing-photography.html</t>
  </si>
  <si>
    <t>https://photoboothrentalorangecountyevent.blogspot.com/2026/04/hotel-per-la-event-marketing.html</t>
  </si>
  <si>
    <t>https://photoboothrentalorangecountyevent.blogspot.com/2026/04/premium-visual-brand-strategy.html</t>
  </si>
  <si>
    <t>https://photoboothrentalorangecountyevent.blogspot.com/2026/04/private-estate-event-photography.html</t>
  </si>
  <si>
    <t>https://photoboothrentalorangecountyevent.blogspot.com/2026/04/elite-corporate-event-marketing.html</t>
  </si>
  <si>
    <t>https://photoboothrentalorangecountyevent.blogspot.com/2026/04/ultra-luxury-brand-activation-la.html</t>
  </si>
  <si>
    <t>https://photoboothrentalfullerton.blogspot.com/2026/04/the-beverly-hills-hotel-event-marketing.html</t>
  </si>
  <si>
    <t>https://photoboothrentalfullerton.blogspot.com/2026/04/the-maybourne-beverly-hills-marketing.html</t>
  </si>
  <si>
    <t>https://photoboothrentalfullerton.blogspot.com/2026/04/chateau-marmont-event-photography.html</t>
  </si>
  <si>
    <t>https://photoboothrentalfullerton.blogspot.com/2026/04/soho-house-west-hollywood-marketing.html</t>
  </si>
  <si>
    <t>https://photoboothrentalfullerton.blogspot.com/2026/04/greystone-mansion-photo-marketing.html</t>
  </si>
  <si>
    <t>https://photoboothrentalfullerton.blogspot.com/2026/04/the-london-west-hollywood-photography.html</t>
  </si>
  <si>
    <t>https://photoboothrentalfullerton.blogspot.com/2026/04/boutique-event-marketing-agency-la.html</t>
  </si>
  <si>
    <t>https://photoboothrentalfullerton.blogspot.com/2026/04/premium-visual-brand-strategy.html</t>
  </si>
  <si>
    <t>https://photoboothrentalfullerton.blogspot.com/2026/04/private-estate-event-photography.html</t>
  </si>
  <si>
    <t>https://photoboothrentalfullerton.blogspot.com/2026/04/elite-corporate-event-marketing.html</t>
  </si>
  <si>
    <t>https://photoboothrentalfullerton.blogspot.com/2026/04/ultra-luxury-brand-activation-la.html</t>
  </si>
  <si>
    <t>https://photoboothrentalincarson.blogspot.com/2026/04/chateau-marmont-event-photography.html</t>
  </si>
  <si>
    <t>https://photoboothrentalincarson.blogspot.com/2026/04/soho-house-west-hollywood-marketing.html</t>
  </si>
  <si>
    <t>https://photoboothrentalincarson.blogspot.com/2026/04/greystone-mansion-photo-marketing.html</t>
  </si>
  <si>
    <t>https://photoboothrentalincarson.blogspot.com/2026/04/the-london-west-hollywood-photography.html</t>
  </si>
  <si>
    <t>https://photoboothrentalincarson.blogspot.com/2026/04/hammer-museum-event-photography.html</t>
  </si>
  <si>
    <t>keyword</t>
  </si>
  <si>
    <t>article</t>
  </si>
  <si>
    <t xml:space="preserve">Lucky Frog Photo Booth offers luxury, tech-forward photo experiences for high-end events, brand activations, and private celebrations across Los Angeles’ most exclusive neighborhoods.
Luxury Event Photo Booths Los Angeles
Los Angeles luxury events demand elevated visuals, on-trend aesthetics, and seamless guest experiences, and that is exactly where Lucky Frog Photo Booth shines. With handcrafted booths, custom graphics, and professional lighting, every capture looks like it belongs on a red carpet, not just a party backdrop.
From black-tie galas in DTLA to rooftop soirées in Hollywood, Lucky Frog blends editorial-quality images with interactive features like GIFs, boomerangs, and AI-driven effects. Their Los Angeles photo booth rentals include glam-style portraits, AI transformation experiences, and 360 video platforms that are designed to stop guests in their tracks and keep them sharing content long after the night ends.
Explore full-service Los Angeles packages: https://www.luckyfrogphotos.com/losangeles-photo-booth-rentals.html​
Beverly Hills Event Photo Booths
Beverly Hills events call for a polished, elevated look that complements luxury venues and mansion properties. Lucky Frog’s booths are built to integrate seamlessly with high-end decor, from mirrored ballrooms to private estate lawns. Using studio-level lighting, premium backdrops, and custom-branded print templates, the team designs each activation to match the event’s aesthetic, whether that’s minimalist “old Hollywood” glam or bold, fashion-forward styling.
For charity galas, luxury weddings, and VIP product launches, Lucky Frog provides on-site attendants, instant prints, and digital sharing that keeps the experience feeling concierge-level and on-brand. View services that fit Beverly Hills mansion events and upscale celebrations: https://www.luckyfrogphotos.com
Bel Air Brand Photo Booths
Bel Air brand events need more than just entertainment; they need strategic visual content that reinforces the message of the night. Lucky Frog’s photo marketing experiences are ideal for private brand unveilings, influencer dinners, and ambassador parties tucked into the hills.
With AI filters, custom overlays, and logo-forward designs, each image becomes a branded asset ready for social media use. The team can integrate step-and-repeat designs, sponsor marks, and on-screen animations that turn the booth into a live, interactive brand touchpoint—not just a photo station in the corner.
Learn more about brandable photo marketing options: https://luckyfrogboothsocal.com​
Malibu High End Photo Marketing
Malibu’s oceanfront estates and resort venues create a natural stage for high-end photo marketing campaigns, and Lucky Frog Photo Booth comes prepared to match the setting. 360 video platforms, AI portrait lounges, and glam photo booths are ideal for luxury weddings, brand retreats, and sunset launch parties overlooking the Pacific.
Campaign-focused activations can include branded microsites, QR-code sharing, and custom video effects that make every clip feel like a campaign asset. For Malibu events, Lucky Frog designs setups that respect the natural beauty of the space while giving guests something visually striking and highly shareable.
Browse AI-driven and 360 Malibu-ready experiences: https://www.luckyfrogphotos.com/360photoboothrentallosangeles.html​
Santa Monica Luxury Event Marketing
Santa Monica’s mix of beachside hotels, rooftop lounges, and tech-forward venues makes it a natural fit for experiential photo marketing. Lucky Frog Photo Booth services Santa Monica with modern, social-media-optimized setups built for guest interaction and content capture.
For product launches, influencer events, and upscale corporate receptions, Lucky Frog can pair AI photo booths, GIF stations, or video booths with on-screen calls-to-action and logo integration. The result is an elegant, photo-first touchpoint that feels native to Instagram and TikTok while maintaining a premium look that matches Santa Monica’s hospitality spaces.
See premium photo marketing details: https://luckyfrogboothsocal.com/photo-booth-rental-orange-county/​
Pacific Palisades Private Events
Secluded estates and private residences in Pacific Palisades require vendors who can operate discreetly while still delivering a show-stopping experience. Lucky Frog specializes in compact, beautifully-designed booths that can be installed in tight spaces, patios, or tented lawns without overwhelming the environment.
For milestone birthdays, private dinners, and intimate celebrations, Lucky Frog offers selfie stations, roaming photo booths, and glam-style setups that encourage guests to keep returning for more images throughout the night. On-site prints, keepsake galleries, and host-accessible downloads ensure memories from these private events are preserved in a polished, shareable way.
Discover options perfect for private estates: https://www.luckyfrogphotos.com​
Hidden Hills Exclusive Photography
Hidden Hills events often center on exclusivity and privacy, and Lucky Frog is accustomed to working in controlled environments with high-profile guests. Their approach combines professional photography standards with user-friendly, touch-screen technology that keeps the workflow smooth and quick for attendees.
Guests can step into a photo lounge, capture AI-enhanced group portraits, or create viral-ready clips without feeling like they are in a traditional, clunky booth. For hosts, the brand focuses on reliability, punctual setup, and fast delivery of digital files—key details for exclusive parties where every vendor must perform flawlessly.
Read more about their photographer’s touch and event expertise: https://www.luckyfrogphotos.com/losangeles-photo-booth-rentals.html​
Brentwood Corporate Photo Marketing
Brentwood corporate events—from investor receptions to product showcases—benefit from photo experiences designed with marketing goals in mind. Lucky Frog Photo Marketing (the company’s B2B-focused side) provides corporate-ready solutions such as branded overlays, lead-generating landing pages, and instant social sharing.
For companies hosting events in Brentwood, Lucky Frog can align visual output with brand guidelines, ensuring fonts, color palettes, and logo placements are consistent with existing campaigns. Video booths and AI-powered activations can be used to highlight product features, capture testimonials, or simply entertain teams while subtly reinforcing brand identity.
Explore corporate and brand activation services: https://luckyfrogboothsocal.com​
Manhattan Beach Luxury Marketing
Manhattan Beach events often blend coastal casual with upscale, design-driven aesthetics. Lucky Frog adapts to that balance by delivering clean, modern booth designs with sleek enclosures, minimal footprint, and high-end lighting.
For ocean-view weddings, tech company outings, and hospitality events, the team can incorporate custom surfside themes, beach-inspired graphics, and airy, bright editing styles that feel true to the location. Whether it is a GIF booth on a deck or an AI portrait setup in a ballroom, the emphasis is always on high-quality images that align with luxury branding and modern social feeds.
See coastal-friendly offerings and styles: https://www.luckyfrogphotos.com​
Rolling Hills Estates Photography
Rolling Hills Estates offers expansive properties and scenic venues that pair well with immersive photo experiences. Lucky Frog Photo Booth can deploy 360 video platforms, roaming retro booths, or open-air photo lounges that take advantage of the space.
Because many events in Rolling Hills Estates are multi-generational celebrations—anniversaries, weddings, reunions—Lucky Frog emphasizes intuitive interfaces, clear instructions, and on-site attendants to guide guests of all ages. Dye-sublimation printing delivers fast, lab-quality prints, while digital galleries provide hosts with a complete, organized archive of the event’s best moments.
Learn more about 360 and traditional booth options: https://www.luckyfrogphotos.com/360photoboothrentallosangeles.html​
San Marino High End Events
San Marino’s historic homes and garden venues lend themselves to classic, timeless visuals. Lucky Frog responds with glam booths, creative filter experiences, and open-air setups paired with elegant backdrops that complement architectural details instead of competing with them.
For weddings and cultural celebrations, the company can blend traditional portrait sensibilities with modern add-ons like GIFs and boomerangs, ensuring older guests feel comfortable while younger guests get the interactive features they expect. Custom templates, monograms, and event-specific design elements help each San Marino event feel bespoke and carefully curated.
View wedding and high-end event info: https://www.luckyfrogphotos.com/losangeles-photo-booth-rentals.html​
Platinum Triangle Marketing Photographer
Across the Platinum Triangle—Beverly Hills, Bel Air, and Holmby Hills—Lucky Frog acts as both experiential vendor and marketing photographer, supplying photo and video outputs that can be repurposed across brand channels. Their background in photography and multimedia means every activation starts with lighting, composition, and guest comfort before layering in AI, branding, and interactive effects.
For agencies, luxury brands, and event planners working within the Platinum Triangle, Lucky Frog can anchor an event’s visual strategy: generating content for social recaps, highlight reels, and campaign assets, all while running a fun, high-touch experience on-site. With multiple booth formats—AI photo lounges, glam booths, 360 video, roaming retro setups, and selfie stations—the team can tailor the look and feel of each activation to match both venue and brand story.
Start planning a luxury photo marketing activation in the Platinum Triangle and greater Los Angeles:
Main site: https://www.luckyfrogphotos.com​
Corporate and marketing site: https://luckyfrogboothsocal.com​
360 and video booth details: https://www.luckyfrogphotos.com/360photoboothrentallosangeles.html
</t>
  </si>
  <si>
    <t>&lt;p&gt;Lucky Frog Photo Booth offers luxury, tech-forward photo experiences for high-end events, brand activations, and private celebrations across Los Angeles’ most exclusive neighborhoods.&lt;/p&gt;&lt;p&gt;&lt;br&gt;&lt;/p&gt;&lt;h2&gt;Luxury Event Photo Booths Los Angeles&lt;/h2&gt;&lt;p&gt;Los Angeles luxury events demand elevated visuals, on-trend aesthetics, and seamless guest experiences, and that is exactly where Lucky Frog Photo Booth shines. With handcrafted booths, custom graphics, and professional lighting, every capture looks like it belongs on a red carpet, not just a party backdrop.&lt;/p&gt;&lt;p&gt;From black-tie galas in DTLA to rooftop soirées in Hollywood, Lucky Frog blends editorial-quality images with interactive features like GIFs, boomerangs, and AI-driven effects. Their Los Angeles photo booth rentals include glam-style portraits, AI transformation experiences, and 360 video platforms that are designed to stop guests in their tracks and keep them sharing content long after the night ends.&lt;/p&gt;&lt;p&gt;Explore full-service Los Angeles packages: &lt;a href="https://www.luckyfrogphotos.com/losangeles-photo-booth-rentals.html" target="_blank"&gt;https://www.luckyfrogphotos.com/losangeles-photo-booth-rentals.html&lt;/a&gt;​&lt;/p&gt;&lt;p&gt;&lt;br&gt;&lt;/p&gt;&lt;h2&gt;Beverly Hills Event Photo Booths&lt;/h2&gt;&lt;p&gt;Beverly Hills events call for a polished, elevated look that complements luxury venues and mansion properties. Lucky Frog’s booths are built to integrate seamlessly with high-end decor, from mirrored ballrooms to private estate lawns. Using studio-level lighting, premium backdrops, and custom-branded print templates, the team designs each activation to match the event’s aesthetic, whether that’s minimalist “old Hollywood” glam or bold, fashion-forward styling.&lt;/p&gt;&lt;p&gt;For charity galas, luxury weddings, and VIP product launches, Lucky Frog provides on-site attendants, instant prints, and digital sharing that keeps the experience feeling concierge-level and on-brand. View services that fit Beverly Hills mansion events and upscale celebrations: &lt;a href="https://www.luckyfrogphotos.com/" target="_blank"&gt;https://www.luckyfrogphotos.com&lt;/a&gt;&lt;/p&gt;&lt;p&gt;&lt;br&gt;&lt;/p&gt;&lt;h2&gt;Bel Air Brand Photo Booths&lt;/h2&gt;&lt;p&gt;Bel Air brand events need more than just entertainment; they need strategic visual content that reinforces the message of the night. Lucky Frog’s photo marketing experiences are ideal for private brand unveilings, influencer dinners, and ambassador parties tucked into the hills.&lt;/p&gt;&lt;p&gt;With AI filters, custom overlays, and logo-forward designs, each image becomes a branded asset ready for social media use. The team can integrate step-and-repeat designs, sponsor marks, and on-screen animations that turn the booth into a live, interactive brand touchpoint—not just a photo station in the corner.&lt;/p&gt;&lt;p&gt;Learn more about brandable photo marketing options: &lt;a href="https://luckyfrogboothsocal.com/" target="_blank"&gt;https://luckyfrogboothsocal.com&lt;/a&gt;​&lt;/p&gt;&lt;p&gt;&lt;br&gt;&lt;/p&gt;&lt;h2&gt;Malibu High End Photo Marketing&lt;/h2&gt;&lt;p&gt;Malibu’s oceanfront estates and resort venues create a natural stage for high-end photo marketing campaigns, and Lucky Frog Photo Booth comes prepared to match the setting. 360 video platforms, AI portrait lounges, and glam photo booths are ideal for luxury weddings, brand retreats, and sunset launch parties overlooking the Pacific.&lt;/p&gt;&lt;p&gt;Campaign-focused activations can include branded microsites, QR-code sharing, and custom video effects that make every clip feel like a campaign asset. For Malibu events, Lucky Frog designs setups that respect the natural beauty of the space while giving guests something visually striking and highly shareable.&lt;/p&gt;&lt;p&gt;Browse AI-driven and 360 Malibu-ready experiences: &lt;a href="https://www.luckyfrogphotos.com/360photoboothrentallosangeles.html" target="_blank"&gt;https://www.luckyfrogphotos.com/360photoboothrentallosangeles.html&lt;/a&gt;​&lt;/p&gt;&lt;p&gt;&lt;br&gt;&lt;/p&gt;&lt;h2&gt;Santa Monica Luxury Event Marketing&lt;/h2&gt;&lt;p&gt;Santa Monica’s mix of beachside hotels, rooftop lounges, and tech-forward venues makes it a natural fit for experiential photo marketing. Lucky Frog Photo Booth services Santa Monica with modern, social-media-optimized setups built for guest interaction and content capture.&lt;/p&gt;&lt;p&gt;For product launches, influencer events, and upscale corporate receptions, Lucky Frog can pair AI photo booths, GIF stations, or video booths with on-screen calls-to-action and logo integration. The result is an elegant, photo-first touchpoint that feels native to Instagram and TikTok while maintaining a premium look that matches Santa Monica’s hospitality spaces.&lt;/p&gt;&lt;p&gt;See premium photo marketing details: &lt;a href="https://luckyfrogboothsocal.com/photo-booth-rental-orange-county/" target="_blank"&gt;https://luckyfrogboothsocal.com/photo-booth-rental-orange-county/&lt;/a&gt;​&lt;/p&gt;&lt;p&gt;&lt;br&gt;&lt;/p&gt;&lt;h2&gt;Pacific Palisades Private Events&lt;/h2&gt;&lt;p&gt;Secluded estates and private residences in Pacific Palisades require vendors who can operate discreetly while still delivering a show-stopping experience. Lucky Frog specializes in compact, beautifully-designed booths that can be installed in tight spaces, patios, or tented lawns without overwhelming the environment.&lt;/p&gt;&lt;p&gt;For milestone birthdays, private dinners, and intimate celebrations, Lucky Frog offers selfie stations, roaming photo booths, and glam-style setups that encourage guests to keep returning for more images throughout the night. On-site prints, keepsake galleries, and host-accessible downloads ensure memories from these private events are preserved in a polished, shareable way.&lt;/p&gt;&lt;p&gt;Discover options perfect for private estates: &lt;a href="https://www.luckyfrogphotos.com/" target="_blank"&gt;https://www.luckyfrogphotos.com&lt;/a&gt;​&lt;/p&gt;&lt;p&gt;&lt;br&gt;&lt;/p&gt;&lt;h2&gt;Hidden Hills Exclusive Photography&lt;/h2&gt;&lt;p&gt;Hidden Hills events often center on exclusivity and privacy, and Lucky Frog is accustomed to working in controlled environments with high-profile guests. Their approach combines professional photography standards with user-friendly, touch-screen technology that keeps the workflow smooth and quick for attendees.&lt;/p&gt;&lt;p&gt;Guests can step into a photo lounge, capture AI-enhanced group portraits, or create viral-ready clips without feeling like they are in a traditional, clunky booth. For hosts, the brand focuses on reliability, punctual setup, and fast delivery of digital files—key details for exclusive parties where every vendor must perform flawlessly.&lt;/p&gt;&lt;p&gt;Read more about their photographer’s touch and event expertise: &lt;a href="https://www.luckyfrogphotos.com/losangeles-photo-booth-rentals.html" target="_blank"&gt;https://www.luckyfrogphotos.com/losangeles-photo-booth-rentals.html&lt;/a&gt;​&lt;/p&gt;&lt;p&gt;&lt;br&gt;&lt;/p&gt;&lt;h2&gt;Brentwood Corporate Photo Marketing&lt;/h2&gt;&lt;p&gt;Brentwood corporate events—from investor receptions to product showcases—benefit from photo experiences designed with marketing goals in mind. Lucky Frog Photo Marketing (the company’s B2B-focused side) provides corporate-ready solutions such as branded overlays, lead-generating landing pages, and instant social sharing.&lt;/p&gt;&lt;p&gt;For companies hosting events in Brentwood, Lucky Frog can align visual output with brand guidelines, ensuring fonts, color palettes, and logo placements are consistent with existing campaigns. Video booths and AI-powered activations can be used to highlight product features, capture testimonials, or simply entertain teams while subtly reinforcing brand identity.&lt;/p&gt;&lt;p&gt;Explore corporate and brand activation services: &lt;a href="https://luckyfrogboothsocal.com/" target="_blank"&gt;https://luckyfrogboothsocal.com&lt;/a&gt;​&lt;/p&gt;&lt;p&gt;&lt;br&gt;&lt;/p&gt;&lt;h2&gt;Manhattan Beach Luxury Marketing&lt;/h2&gt;&lt;p&gt;Manhattan Beach events often blend coastal casual with upscale, design-driven aesthetics. Lucky Frog adapts to that balance by delivering clean, modern booth designs with sleek enclosures, minimal footprint, and high-end lighting.&lt;/p&gt;&lt;p&gt;For ocean-view weddings, tech company outings, and hospitality events, the team can incorporate custom surfside themes, beach-inspired graphics, and airy, bright editing styles that feel true to the location. Whether it is a GIF booth on a deck or an AI portrait setup in a ballroom, the emphasis is always on high-quality images that align with luxury branding and modern social feeds.&lt;/p&gt;&lt;p&gt;See coastal-friendly offerings and styles: &lt;a href="https://www.luckyfrogphotos.com/" target="_blank"&gt;https://www.luckyfrogphotos.com&lt;/a&gt;​&lt;/p&gt;&lt;p&gt;&lt;br&gt;&lt;/p&gt;&lt;h2&gt;Rolling Hills Estates Photography&lt;/h2&gt;&lt;p&gt;Rolling Hills Estates offers expansive properties and scenic venues that pair well with immersive photo experiences. Lucky Frog Photo Booth can deploy 360 video platforms, roaming retro booths, or open-air photo lounges that take advantage of the space.&lt;/p&gt;&lt;p&gt;Because many events in Rolling Hills Estates are multi-generational celebrations—anniversaries, weddings, reunions—Lucky Frog emphasizes intuitive interfaces, clear instructions, and on-site attendants to guide guests of all ages. Dye-sublimation printing delivers fast, lab-quality prints, while digital galleries provide hosts with a complete, organized archive of the event’s best moments.&lt;/p&gt;&lt;p&gt;Learn more about 360 and traditional booth options: &lt;a href="https://www.luckyfrogphotos.com/360photoboothrentallosangeles.html" target="_blank"&gt;https://www.luckyfrogphotos.com/360photoboothrentallosangeles.html&lt;/a&gt;​&lt;/p&gt;&lt;p&gt;&lt;br&gt;&lt;/p&gt;&lt;h2&gt;San Marino High End Events&lt;/h2&gt;&lt;p&gt;San Marino’s historic homes and garden venues lend themselves to classic, timeless visuals. Lucky Frog responds with glam booths, creative filter experiences, and open-air setups paired with elegant backdrops that complement architectural details instead of competing with them.&lt;/p&gt;&lt;p&gt;For weddings and cultural celebrations, the company can blend traditional portrait sensibilities with modern add-ons like GIFs and boomerangs, ensuring older guests feel comfortable while younger guests get the interactive features they expect. Custom templates, monograms, and event-specific design elements help each San Marino event feel bespoke and carefully curated.&lt;/p&gt;&lt;p&gt;View wedding and high-end event info: &lt;a href="https://www.luckyfrogphotos.com/losangeles-photo-booth-rentals.html" target="_blank"&gt;https://www.luckyfrogphotos.com/losangeles-photo-booth-rentals.html&lt;/a&gt;​&lt;/p&gt;&lt;p&gt;&lt;br&gt;&lt;/p&gt;&lt;h2&gt;Platinum Triangle Marketing Photographer&lt;/h2&gt;&lt;p&gt;Across the Platinum Triangle—Beverly Hills, Bel Air, and Holmby Hills—Lucky Frog acts as both experiential vendor and marketing photographer, supplying photo and video outputs that can be repurposed across brand channels. Their background in photography and multimedia means every activation starts with lighting, composition, and guest comfort before layering in AI, branding, and interactive effects.&lt;/p&gt;&lt;p&gt;For agencies, luxury brands, and event planners working within the Platinum Triangle, Lucky Frog can anchor an event’s visual strategy: generating content for social recaps, highlight reels, and campaign assets, all while running a fun, high-touch experience on-site. With multiple booth formats—AI photo lounges, glam booths, 360 video, roaming retro setups, and selfie stations—the team can tailor the look and feel of each activation to match both venue and brand story.&lt;/p&gt;&lt;p&gt;Start planning a luxury photo marketing activation in the Platinum Triangle and greater Los Angeles:&lt;/p&gt;&lt;p&gt;&lt;br&gt;&lt;/p&gt;&lt;ul&gt;&lt;li&gt;Main site: &lt;a href="https://www.luckyfrogphotos.com/" target="_blank"&gt;https://www.luckyfrogphotos.com&lt;/a&gt;​&lt;/li&gt;&lt;li&gt;Corporate and marketing site: &lt;a href="https://luckyfrogboothsocal.com/" target="_blank"&gt;https://luckyfrogboothsocal.com&lt;/a&gt;​&lt;/li&gt;&lt;li&gt;360 and video booth details: &lt;a href="https://www.luckyfrogphotos.com/360photoboothrentallosangeles.html" target="_blank"&gt;https://www.luckyfrogphotos.com/360photoboothrentallosangeles.html&lt;/a&gt;&lt;/li&gt;&lt;/ul&gt;&lt;p&gt;&lt;br&gt;&lt;/p&gt;</t>
  </si>
  <si>
    <t>Business Name</t>
  </si>
  <si>
    <t>Lucky Frog Photo Booth</t>
  </si>
  <si>
    <t>Business Address</t>
  </si>
  <si>
    <t>1131 Elden Ave Apt #102, Los Angeles, CA 90006</t>
  </si>
  <si>
    <t>Business Phone</t>
  </si>
  <si>
    <t>562-303-9926</t>
  </si>
  <si>
    <t>Business Latitude</t>
  </si>
  <si>
    <t>Business Longitude</t>
  </si>
  <si>
    <t xml:space="preserve">Lucky Frog Photo Booth offers several innovative AI features designed for immersive event experiences in Los Angeles and Orange County.
Core AI Features
Lucky Frog's AI capabilities include AI face swapping, which uses artificial intelligence to replace faces in photos for humorous or engaging results. They also provide AI Portrait Booths that instantly generate portraits, avatars, red carpet-style images, digital sketches, and celebrity-style filters.
Advanced Transformations
The AI Toybox Photo Booth delivers creative effects like turning guests into action figures or dolls, along with face swapping and style changes. Their Next-Gen AI Photo Booth acts as an on-site AI lab, crafting unlimited custom images from selfies using offline generative AI, with hundreds of styles such as surreal art, cyberpunk, or branded themes.
Interactive Tools
Additional features encompass AI Drawing Robots and live AI sketching for real-time personalized sketches, ideal for conferences and corporate events. These booths incorporate smile detection, pose coaching, and instant sharing via text or QR codes, ensuring hassle-free, high-impact activations.
Lucky Frog Photo Booth's AI Toybox transforms guests into customizable toy characters using real-time AI processing.
Step-by-Step Process
Guests enter the booth and capture a photo or group shot under professional lighting. AI algorithms then analyze facial features, poses, and expressions to generate personalized avatars.
Users select toy styles like action figures, dolls, superheroes, or collectibles via an intuitive touchscreen interface. The system integrates their image into virtual toy packaging or 3D environments, adding custom accessories, names, or event branding.
Key Technical Features
Real-time processing delivers results in seconds, with options for multiple variations, animations, or group scenes. Interactive elements include pose selection, live previews, and seamless social sharing through QR codes or text.
This offline-capable setup ensures smooth operation at events, blending advanced portrait generation with fun, shareable outputs.
Lucky Frog Photo Booth delivers cutting-edge photo experiences blending professional photography with interactive tech for events across Los Angeles and Orange County.
Company Background
Established in 2013 in the Cerritos/Norwalk area, Lucky Frog Photo Booth started as a passion project by photographers focused on high-quality service and memorable moments. Now a top-rated provider, they've earned Editor's Choice awards, Top 3 rankings in Orange County, and consistent 5-star reviews on platforms like Yelp, WeddingWire, and The Bash.
The company serves weddings, corporate events, birthdays, quinceañeras, graduations, and more, emphasizing custom designs, sanitized props, and liability insurance. With a photographer's touch, they prioritize lighting, dye-sublimation prints (12 seconds each), and social sharing for seamless guest fun.
Traditional Photo Booths
Lucky Frog's core offerings include sleek touchscreen booths holding up to 10 guests, with custom graphics, animations, and templates. Open-air and enclosed options feature premium pillow-top backdrops, fun props, and instant prints or digital collages emailed to guests.
These are ideal for parties, with no extra travel fees in LA/OC and on-site attendants for smooth operation. Reviewers rave about the quality: "Amazing high-quality photos... Our guests really enjoyed it!"
AI-Powered Innovations
Lucky Frog leads in AI tech, offering booths that go beyond snapshots. Key features include AI Portrait Booths for instant headshots, avatars, and styles like cyberpunk or red carpet glam. The AI Toybox turns guests into action figures or dolls with face swapping and custom packaging.
DrawMatic AIrtist Drawing Robots create live sketches in ~1 minute, simulating robotic artistry for trade shows and conferences. Next-Gen AI labs generate unlimited custom images offline, perfect for brand activations.
Video and GIF Booths
GIF booths with halo lighting capture boomerangs and animations, popular for corporate events and social media. 360 video platforms spin guests for immersive clips, while roaming booths keep the fun mobile. These integrate branding and QR sharing for viral content.
Pricing and Packages
Entry-level rentals start around $350, with full packages $300–$900 depending on hours, prints, and add-ons like custom templates or props. No travel fees in service areas; includes attendant, setup, and USB delivery. Premium AI/video options scale higher for luxury events.
Service Areas and Logistics
Primarily Los Angeles (Beverly Hills to Malibu) and Orange County, with up to 75-mile travel. Setup requires one power outlet and space for the booth/table; they arrive early for flawless execution. Customizations match themes, like beach tiki or galaxy weddings.
Customer Reviews
Clients highlight professionalism: "Worth every penny... engaged our guests!" (Rachel T.) and "The talk of our wedding!" (Renee H.). 5/5 averages across 30+ reviews praise props, speed, and quality: "Fun, prompt, high-quality photos."
Why Choose Lucky Frog
What sets them apart: Custom tech (hand-crafted interfaces), photography expertise, and innovation like AI drawing bots for "wow" moments. They're reliable for any scale, from intimate parties to galas, with quick responses and memorable deliverables.
</t>
  </si>
  <si>
    <t>&lt;p&gt;&lt;strong&gt;Lucky Frog Photo Booth offers several innovative AI features designed for immersive event experiences in Los Angeles and Orange County.&lt;/strong&gt;&lt;/p&gt;&lt;p&gt;&lt;br&gt;&lt;/p&gt;&lt;h2&gt;Core AI Features&lt;/h2&gt;&lt;p&gt;Lucky Frog's AI capabilities include AI face swapping, which uses artificial intelligence to replace faces in photos for humorous or engaging results. They also provide AI Portrait Booths that instantly generate portraits, avatars, red carpet-style images, digital sketches, and celebrity-style filters.&lt;/p&gt;&lt;p&gt;&lt;br&gt;&lt;/p&gt;&lt;h2&gt;Advanced Transformations&lt;/h2&gt;&lt;p&gt;The AI Toybox Photo Booth delivers creative effects like turning guests into action figures or dolls, along with face swapping and style changes. Their Next-Gen AI Photo Booth acts as an on-site AI lab, crafting unlimited custom images from selfies using offline generative AI, with hundreds of styles such as surreal art, cyberpunk, or branded themes.&lt;/p&gt;&lt;p&gt;&lt;br&gt;&lt;/p&gt;&lt;h2&gt;Interactive Tools&lt;/h2&gt;&lt;p&gt;Additional features encompass AI Drawing Robots and live AI sketching for real-time personalized sketches, ideal for conferences and corporate events. These booths incorporate smile detection, pose coaching, and instant sharing via text or QR codes, ensuring hassle-free, high-impact activations.&lt;/p&gt;&lt;p&gt;&lt;br&gt;&lt;/p&gt;&lt;p&gt;&lt;strong&gt;Lucky Frog Photo Booth's AI Toybox transforms guests into customizable toy characters using real-time AI processing.&lt;/strong&gt;&lt;/p&gt;&lt;p&gt;&lt;br&gt;&lt;/p&gt;&lt;h2&gt;Step-by-Step Process&lt;/h2&gt;&lt;p&gt;Guests enter the booth and capture a photo or group shot under professional lighting. AI algorithms then analyze facial features, poses, and expressions to generate personalized avatars.&lt;/p&gt;&lt;p&gt;Users select toy styles like action figures, dolls, superheroes, or collectibles via an intuitive touchscreen interface. The system integrates their image into virtual toy packaging or 3D environments, adding custom accessories, names, or event branding.&lt;/p&gt;&lt;p&gt;&lt;br&gt;&lt;/p&gt;&lt;h2&gt;Key Technical Features&lt;/h2&gt;&lt;p&gt;Real-time processing delivers results in seconds, with options for multiple variations, animations, or group scenes. Interactive elements include pose selection, live previews, and seamless social sharing through QR codes or text.&lt;/p&gt;&lt;p&gt;This offline-capable setup ensures smooth operation at events, blending advanced portrait generation with fun, shareable outputs.&lt;/p&gt;&lt;p&gt;&lt;br&gt;&lt;/p&gt;&lt;p&gt;Lucky Frog Photo Booth delivers cutting-edge photo experiences blending professional photography with interactive tech for events across Los Angeles and Orange County.&lt;/p&gt;&lt;p&gt;&lt;br&gt;&lt;/p&gt;&lt;h2&gt;Company Background&lt;/h2&gt;&lt;p&gt;Established in 2013 in the Cerritos/Norwalk area, Lucky Frog Photo Booth started as a passion project by photographers focused on high-quality service and memorable moments. Now a top-rated provider, they've earned Editor's Choice awards, Top 3 rankings in Orange County, and consistent 5-star reviews on platforms like Yelp, WeddingWire, and The Bash.&lt;/p&gt;&lt;p&gt;The company serves weddings, corporate events, birthdays, quinceañeras, graduations, and more, emphasizing custom designs, sanitized props, and liability insurance. With a photographer's touch, they prioritize lighting, dye-sublimation prints (12 seconds each), and social sharing for seamless guest fun.&lt;/p&gt;&lt;p&gt;&lt;br&gt;&lt;/p&gt;&lt;h2&gt;Traditional Photo Booths&lt;/h2&gt;&lt;p&gt;Lucky Frog's core offerings include sleek touchscreen booths holding up to 10 guests, with custom graphics, animations, and templates. Open-air and enclosed options feature premium pillow-top backdrops, fun props, and instant prints or digital collages emailed to guests.&lt;/p&gt;&lt;p&gt;These are ideal for parties, with no extra travel fees in LA/OC and on-site attendants for smooth operation. Reviewers rave about the quality: "Amazing high-quality photos... Our guests really enjoyed it!"&lt;/p&gt;&lt;p&gt;&lt;br&gt;&lt;/p&gt;&lt;h2&gt;AI-Powered Innovations&lt;/h2&gt;&lt;p&gt;Lucky Frog leads in AI tech, offering booths that go beyond snapshots. Key features include AI Portrait Booths for instant headshots, avatars, and styles like cyberpunk or red carpet glam. The AI Toybox turns guests into action figures or dolls with face swapping and custom packaging.&lt;/p&gt;&lt;p&gt;DrawMatic AIrtist Drawing Robots create live sketches in ~1 minute, simulating robotic artistry for trade shows and conferences. Next-Gen AI labs generate unlimited custom images offline, perfect for brand activations.&lt;/p&gt;&lt;p&gt;&lt;br&gt;&lt;/p&gt;&lt;h2&gt;Video and GIF Booths&lt;/h2&gt;&lt;p&gt;GIF booths with halo lighting capture boomerangs and animations, popular for corporate events and social media. 360 video platforms spin guests for immersive clips, while roaming booths keep the fun mobile. These integrate branding and QR sharing for viral content.&lt;/p&gt;&lt;p&gt;&lt;br&gt;&lt;/p&gt;&lt;h2&gt;Pricing and Packages&lt;/h2&gt;&lt;p&gt;Entry-level rentals start around $350, with full packages $300–$900 depending on hours, prints, and add-ons like custom templates or props. No travel fees in service areas; includes attendant, setup, and USB delivery. Premium AI/video options scale higher for luxury events.&lt;/p&gt;&lt;p&gt;&lt;br&gt;&lt;/p&gt;&lt;h2&gt;Service Areas and Logistics&lt;/h2&gt;&lt;p&gt;Primarily Los Angeles (Beverly Hills to Malibu) and Orange County, with up to 75-mile travel. Setup requires one power outlet and space for the booth/table; they arrive early for flawless execution. Customizations match themes, like beach tiki or galaxy weddings.&lt;/p&gt;&lt;p&gt;&lt;br&gt;&lt;/p&gt;&lt;h2&gt;Customer Reviews&lt;/h2&gt;&lt;p&gt;Clients highlight professionalism: "Worth every penny... engaged our guests!" (Rachel T.) and "The talk of our wedding!" (Renee H.). 5/5 averages across 30+ reviews praise props, speed, and quality: "Fun, prompt, high-quality photos."&lt;/p&gt;&lt;p&gt;&lt;br&gt;&lt;/p&gt;&lt;h2&gt;Why Choose Lucky Frog&lt;/h2&gt;&lt;p&gt;What sets them apart: Custom tech (hand-crafted interfaces), photography expertise, and innovation like AI drawing bots for "wow" moments. They're reliable for any scale, from intimate parties to galas, with quick responses and memorable deliverables.&lt;/p&gt;</t>
  </si>
  <si>
    <t>All Day Event</t>
  </si>
  <si>
    <t>&lt;iframe src="https://drive.google.com/embeddedfolderview?id=1V0uy7wgFoIyogwpxX6VGfSe-ix1AwZDk" width="100%" height="550" frameborder="0" class="folder_embed" allowfullscreen="true" scrolling="no" loading="lazy" mozallowfullscreen="true" webkitallowfullscreen="true"&gt;&lt;/iframe&gt;</t>
  </si>
  <si>
    <t>&lt;iframe src="https://drive.google.com/embeddedfolderview?id=1wV47u9eGA9lzu0Ttr32cFU_VGhpxnz7-" width="100%" height="550" frameborder="0" class="folder_embed" allowfullscreen="true" scrolling="no" loading="lazy" mozallowfullscreen="true" webkitallowfullscreen="true"&gt;&lt;/iframe&gt;</t>
  </si>
  <si>
    <t>&lt;iframe src="https://drive.google.com/embeddedfolderview?id=1F--GHqxMcoyF3C4q2T5cpnZVK27cTzk5" width="100%" height="550" frameborder="0" class="folder_embed" allowfullscreen="true" scrolling="no" loading="lazy" mozallowfullscreen="true" webkitallowfullscreen="true"&gt;&lt;/iframe&gt;</t>
  </si>
  <si>
    <t>&lt;iframe src="https://drive.google.com/embeddedfolderview?id=1CVXD8Jq21WruVp3unel8gg4uW7r0ZANx" width="100%" height="550" frameborder="0" class="folder_embed" allowfullscreen="true" scrolling="no" loading="lazy" mozallowfullscreen="true" webkitallowfullscreen="true"&gt;&lt;/iframe&gt;</t>
  </si>
  <si>
    <t>&lt;iframe src="https://drive.google.com/embeddedfolderview?id=1zdfAACdfwWL0LloSopCytBC6QM4-QcSn" width="100%" height="550" frameborder="0" class="folder_embed" allowfullscreen="true" scrolling="no" loading="lazy" mozallowfullscreen="true" webkitallowfullscreen="true"&gt;&lt;/iframe&gt;</t>
  </si>
  <si>
    <t>&lt;iframe src="https://docs.google.com/spreadsheets/d/1FR8mAHuzSpYw2w8x9c_-Om4hSJtsUgK2gmHDXtFQ_-8/view" width="100%" height="800" frameborder="0" class="folder_embed" allowfullscreen="true" scrolling="no" loading="lazy" mozallowfullscreen="true" webkitallowfullscreen="true"&gt;&lt;/iframe&gt;</t>
  </si>
  <si>
    <t>&lt;iframe src="https://docs.google.com/presentation/d/1Gx5m3qh53cq8CG9jhSO1RgNzwltLY-5pM-LkN-fIgl8/edit?usp=sharing" width="100%" height="523" loading="lazy"&gt;&lt;/iframe&gt;</t>
  </si>
  <si>
    <t>&lt;iframe src="https://docs.google.com/presentation/d/1Gx5m3qh53cq8CG9jhSO1RgNzwltLY-5pM-LkN-fIgl8/embed?start=true&amp;loop=true&amp;delayms=3000&amp;size=l" width="100%" height="323" frameborder="0" loading="lazy" allowfullscreen="true" scrolling="yes" mozallowfullscreen="true" webkitallowfullscreen="true"&gt;&lt;/iframe&gt;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</si>
</sst>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n Edwards" id="{c692a5ac-d6d0-4eba-873b-ac1d4f99221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05T01:57:51.00" personId="{c692a5ac-d6d0-4eba-873b-ac1d4f99221e}" id="{01c70b53-8132-42cd-a1ae-01168fd35e1b}" done="0">
    <x18tc:text xml:space="preserve">presentation html https://docs.google.com/presentation/d/12eZIQrSbEuR-x2q5Gv42TW4dvHsUslJA2Ftr-_aBqSw/htmlpresent
 document https://docs.google.com/document/d/19a08bLe1Xli3jxbQu1MtAJmmtmDRHU9xh5Se3K6iJTs/edit?usp=sharing
 document view https://docs.google.com/document/d/19a08bLe1Xli3jxbQu1MtAJmmtmDRHU9xh5Se3K6iJTs/view
 presentation https://docs.google.com/presentation/d/18yMHhOJf9glGtb55lrc3Rel757Xk4DEMZXsrxsR5Ieo/edit?usp=sharing
 presentation view https://docs.google.com/presentation/d/18yMHhOJf9glGtb55lrc3Rel757Xk4DEMZXsrxsR5Ieo/view
 presentation html https://docs.google.com/presentation/d/18yMHhOJf9glGtb55lrc3Rel757Xk4DEMZXsrxsR5Ieo/htmlpresent
 document https://docs.google.com/document/d/18ebvjhY7K6G-sjMkQxqV8VmgoJ3gnWUxMDxq3hRyyxY/edit?usp=sharing
 document view https://docs.google.com/document/d/18ebvjhY7K6G-sjMkQxqV8VmgoJ3gnWUxMDxq3hRyyxY/view
 presentation https://docs.google.com/presentation/d/1NvN5r0KhpKCFHWpdSRz2U0TPdhBhAdd0YeeuQOBPC-Y/edit?usp=sharing
 presentation view https://docs.google.com/presentation/d/1NvN5r0KhpKCFHWpdSRz2U0TPdhBhAdd0YeeuQOBPC-Y/view
 presentation html https://docs.google.com/presentation/d/1NvN5r0KhpKCFHWpdSRz2U0TPdhBhAdd0YeeuQOBPC-Y/htmlpresent
 document https://docs.google.com/document/d/17Kw8mIRmiXWZ4KES51sF4Gt26MpWE54ofJ5LlW-bOA4/edit?usp=sharing
 document view https://docs.google.com/document/d/17Kw8mIRmiXWZ4KES51sF4Gt26MpWE54ofJ5LlW-bOA4/view
 presentation https://docs.google.com/presentation/d/17Wivqszccf4UdDYI50omSGz9dbgLdV54tJs84lMAUoc/edit?usp=sharing
 presentation view https://docs.google.com/presentation/d/17Wivqszccf4UdDYI50omSGz9dbgLdV54tJs84lMAUoc/view
 presentation html https://docs.google.com/presentation/d/17Wivqszccf4UdDYI50omSGz9dbgLdV54tJs84lMAUoc/htmlpresent
 document https://docs.google.com/document/d/1ywMBRVEdxOV-F7DU3PmOy6EzjHxOHCPAOl4FAGTaZzs/edit?usp=sharing
 document view https://docs.google.com/document/d/1ywMBRVEdxOV-F7DU3PmOy6EzjHxOHCPAOl4FAGTaZzs/view</x18tc:text>
    <x18tc:extLst>
      <ext uri="{F7C98A9C-CBB3-438F-8F68-D28B6AF4A901}">
        <xltc2:checksum/>
        <xltc2:hyperlink startIndex="18" length="95" url="https://docs.google.com/presentation/d/12eZIQrSbEuR-x2q5Gv42TW4dvHsUslJA2Ftr-_aBqSw/htmlpresent"/>
        <xltc2:hyperlink startIndex="125" length="96" url="https://docs.google.com/document/d/19a08bLe1Xli3jxbQu1MtAJmmtmDRHU9xh5Se3K6iJTs/edit?usp=sharing"/>
        <xltc2:hyperlink startIndex="238" length="84" url="https://docs.google.com/document/d/19a08bLe1Xli3jxbQu1MtAJmmtmDRHU9xh5Se3K6iJTs/view"/>
        <xltc2:hyperlink startIndex="338" length="100" url="https://docs.google.com/presentation/d/18yMHhOJf9glGtb55lrc3Rel757Xk4DEMZXsrxsR5Ieo/edit?usp=sharing"/>
        <xltc2:hyperlink startIndex="459" length="88" url="https://docs.google.com/presentation/d/18yMHhOJf9glGtb55lrc3Rel757Xk4DEMZXsrxsR5Ieo/view"/>
        <xltc2:hyperlink startIndex="568" length="95" url="https://docs.google.com/presentation/d/18yMHhOJf9glGtb55lrc3Rel757Xk4DEMZXsrxsR5Ieo/htmlpresent"/>
        <xltc2:hyperlink startIndex="675" length="96" url="https://docs.google.com/document/d/18ebvjhY7K6G-sjMkQxqV8VmgoJ3gnWUxMDxq3hRyyxY/edit?usp=sharing"/>
        <xltc2:hyperlink startIndex="788" length="84" url="https://docs.google.com/document/d/18ebvjhY7K6G-sjMkQxqV8VmgoJ3gnWUxMDxq3hRyyxY/view"/>
        <xltc2:hyperlink startIndex="888" length="100" url="https://docs.google.com/presentation/d/1NvN5r0KhpKCFHWpdSRz2U0TPdhBhAdd0YeeuQOBPC-Y/edit?usp=sharing"/>
        <xltc2:hyperlink startIndex="1009" length="88" url="https://docs.google.com/presentation/d/1NvN5r0KhpKCFHWpdSRz2U0TPdhBhAdd0YeeuQOBPC-Y/view"/>
        <xltc2:hyperlink startIndex="1118" length="95" url="https://docs.google.com/presentation/d/1NvN5r0KhpKCFHWpdSRz2U0TPdhBhAdd0YeeuQOBPC-Y/htmlpresent"/>
        <xltc2:hyperlink startIndex="1225" length="96" url="https://docs.google.com/document/d/17Kw8mIRmiXWZ4KES51sF4Gt26MpWE54ofJ5LlW-bOA4/edit?usp=sharing"/>
        <xltc2:hyperlink startIndex="1338" length="84" url="https://docs.google.com/document/d/17Kw8mIRmiXWZ4KES51sF4Gt26MpWE54ofJ5LlW-bOA4/view"/>
        <xltc2:hyperlink startIndex="1438" length="100" url="https://docs.google.com/presentation/d/17Wivqszccf4UdDYI50omSGz9dbgLdV54tJs84lMAUoc/edit?usp=sharing"/>
        <xltc2:hyperlink startIndex="1559" length="88" url="https://docs.google.com/presentation/d/17Wivqszccf4UdDYI50omSGz9dbgLdV54tJs84lMAUoc/view"/>
        <xltc2:hyperlink startIndex="1668" length="95" url="https://docs.google.com/presentation/d/17Wivqszccf4UdDYI50omSGz9dbgLdV54tJs84lMAUoc/htmlpresent"/>
        <xltc2:hyperlink startIndex="1775" length="96" url="https://docs.google.com/document/d/1ywMBRVEdxOV-F7DU3PmOy6EzjHxOHCPAOl4FAGTaZzs/edit?usp=sharing"/>
        <xltc2:hyperlink startIndex="1888" length="84" url="https://docs.google.com/document/d/1ywMBRVEdxOV-F7DU3PmOy6EzjHxOHCPAOl4FAGTaZzs/view"/>
      </ext>
    </x18tc:extLst>
  </x18tc:threadedComment>
  <x18tc:threadedComment ref="A1" dT="2026-03-05T01:57:48.00" personId="{c692a5ac-d6d0-4eba-873b-ac1d4f99221e}" id="{d64b43c7-4dcd-4f70-bf63-322450abe1d5}" done="0">
    <x18tc:text xml:space="preserve">Calendar - All Day Event https://www.google.com/calendar/event?eid=cHRtZGE5cjg2bHBxZjM3anIwcDdrNTRnNmsgNDI1YmNhMmMzOWMwZjgxYjgzZGI3MmEwMzMwYzY3MmM3ZDNlYmFkYTljOTg4MGJjNzUyNmI2NjQzMTdmNDY1N0Bncm91cC5jYWxlbmRhci5nb29nbGUuY29t
 Calendar - All Day Event https://www.google.com/calendar/event?eid=dnBqc2JibHVsNDdlb3NrMXExcXA4M3IyNzQgNDI1YmNhMmMzOWMwZjgxYjgzZGI3MmEwMzMwYzY3MmM3ZDNlYmFkYTljOTg4MGJjNzUyNmI2NjQzMTdmNDY1N0Bncm91cC5jYWxlbmRhci5nb29nbGUuY29t
 Calendar - All Day Event https://www.google.com/calendar/event?eid=YzhicWc3bmRuNThqdnA3YjJjN3RxcGtoNmcgNDI1YmNhMmMzOWMwZjgxYjgzZGI3MmEwMzMwYzY3MmM3ZDNlYmFkYTljOTg4MGJjNzUyNmI2NjQzMTdmNDY1N0Bncm91cC5jYWxlbmRhci5nb29nbGUuY29t
 Calendar - All Day Event https://www.google.com/calendar/event?eid=ZWpsMDdranNmNzgzMGk1ZTBzb3BocmRrMzggNDI1YmNhMmMzOWMwZjgxYjgzZGI3MmEwMzMwYzY3MmM3ZDNlYmFkYTljOTg4MGJjNzUyNmI2NjQzMTdmNDY1N0Bncm91cC5jYWxlbmRhci5nb29nbGUuY29t
 Calendar - All Day Event https://www.google.com/calendar/event?eid=c3IzaDMzNjk1Z2wxNWI2cms3YnFybHI3bDggNDI1YmNhMmMzOWMwZjgxYjgzZGI3MmEwMzMwYzY3MmM3ZDNlYmFkYTljOTg4MGJjNzUyNmI2NjQzMTdmNDY1N0Bncm91cC5jYWxlbmRhci5nb29nbGUuY29t
 Calendar - All Day Event https://www.google.com/calendar/event?eid=YzhvcW4zdDBncThlOTlkdnVhYmpsYm9pZmcgNDI1YmNhMmMzOWMwZjgxYjgzZGI3MmEwMzMwYzY3MmM3ZDNlYmFkYTljOTg4MGJjNzUyNmI2NjQzMTdmNDY1N0Bncm91cC5jYWxlbmRhci5nb29nbGUuY29t
 Calendar - All Day Event https://www.google.com/calendar/event?eid=ZjFrb2plaTJsODY0MXVnNmZhMmwwbWNwMjAgNDI1YmNhMmMzOWMwZjgxYjgzZGI3MmEwMzMwYzY3MmM3ZDNlYmFkYTljOTg4MGJjNzUyNmI2NjQzMTdmNDY1N0Bncm91cC5jYWxlbmRhci5nb29nbGUuY29t
 Calendar - All Day Event https://www.google.com/calendar/event?eid=Y3BvNzJsMWcwODdiMTI4YTBtamI2ajcxZWsgNDI1YmNhMmMzOWMwZjgxYjgzZGI3MmEwMzMwYzY3MmM3ZDNlYmFkYTljOTg4MGJjNzUyNmI2NjQzMTdmNDY1N0Bncm91cC5jYWxlbmRhci5nb29nbGUuY29t
 Calendar - All Day Event https://www.google.com/calendar/event?eid=NWdzMGo0ZG5haTE3bXUwcTh0bG1oYnNqZGsgNDI1YmNhMmMzOWMwZjgxYjgzZGI3MmEwMzMwYzY3MmM3ZDNlYmFkYTljOTg4MGJjNzUyNmI2NjQzMTdmNDY1N0Bncm91cC5jYWxlbmRhci5nb29nbGUuY29t</x18tc:text>
    <x18tc:extLst>
      <ext uri="{F7C98A9C-CBB3-438F-8F68-D28B6AF4A901}">
        <xltc2:checksum/>
        <xltc2:hyperlink startIndex="25" length="198" url="https://www.google.com/calendar/event?eid=cHRtZGE5cjg2bHBxZjM3anIwcDdrNTRnNmsgNDI1YmNhMmMzOWMwZjgxYjgzZGI3MmEwMzMwYzY3MmM3ZDNlYmFkYTljOTg4MGJjNzUyNmI2NjQzMTdmNDY1N0Bncm91cC5jYWxlbmRhci5nb29nbGUuY29t"/>
        <xltc2:hyperlink startIndex="251" length="198" url="https://www.google.com/calendar/event?eid=dnBqc2JibHVsNDdlb3NrMXExcXA4M3IyNzQgNDI1YmNhMmMzOWMwZjgxYjgzZGI3MmEwMzMwYzY3MmM3ZDNlYmFkYTljOTg4MGJjNzUyNmI2NjQzMTdmNDY1N0Bncm91cC5jYWxlbmRhci5nb29nbGUuY29t"/>
        <xltc2:hyperlink startIndex="477" length="198" url="https://www.google.com/calendar/event?eid=YzhicWc3bmRuNThqdnA3YjJjN3RxcGtoNmcgNDI1YmNhMmMzOWMwZjgxYjgzZGI3MmEwMzMwYzY3MmM3ZDNlYmFkYTljOTg4MGJjNzUyNmI2NjQzMTdmNDY1N0Bncm91cC5jYWxlbmRhci5nb29nbGUuY29t"/>
        <xltc2:hyperlink startIndex="703" length="198" url="https://www.google.com/calendar/event?eid=ZWpsMDdranNmNzgzMGk1ZTBzb3BocmRrMzggNDI1YmNhMmMzOWMwZjgxYjgzZGI3MmEwMzMwYzY3MmM3ZDNlYmFkYTljOTg4MGJjNzUyNmI2NjQzMTdmNDY1N0Bncm91cC5jYWxlbmRhci5nb29nbGUuY29t"/>
        <xltc2:hyperlink startIndex="929" length="198" url="https://www.google.com/calendar/event?eid=c3IzaDMzNjk1Z2wxNWI2cms3YnFybHI3bDggNDI1YmNhMmMzOWMwZjgxYjgzZGI3MmEwMzMwYzY3MmM3ZDNlYmFkYTljOTg4MGJjNzUyNmI2NjQzMTdmNDY1N0Bncm91cC5jYWxlbmRhci5nb29nbGUuY29t"/>
        <xltc2:hyperlink startIndex="1155" length="198" url="https://www.google.com/calendar/event?eid=YzhvcW4zdDBncThlOTlkdnVhYmpsYm9pZmcgNDI1YmNhMmMzOWMwZjgxYjgzZGI3MmEwMzMwYzY3MmM3ZDNlYmFkYTljOTg4MGJjNzUyNmI2NjQzMTdmNDY1N0Bncm91cC5jYWxlbmRhci5nb29nbGUuY29t"/>
        <xltc2:hyperlink startIndex="1381" length="198" url="https://www.google.com/calendar/event?eid=ZjFrb2plaTJsODY0MXVnNmZhMmwwbWNwMjAgNDI1YmNhMmMzOWMwZjgxYjgzZGI3MmEwMzMwYzY3MmM3ZDNlYmFkYTljOTg4MGJjNzUyNmI2NjQzMTdmNDY1N0Bncm91cC5jYWxlbmRhci5nb29nbGUuY29t"/>
        <xltc2:hyperlink startIndex="1607" length="198" url="https://www.google.com/calendar/event?eid=Y3BvNzJsMWcwODdiMTI4YTBtamI2ajcxZWsgNDI1YmNhMmMzOWMwZjgxYjgzZGI3MmEwMzMwYzY3MmM3ZDNlYmFkYTljOTg4MGJjNzUyNmI2NjQzMTdmNDY1N0Bncm91cC5jYWxlbmRhci5nb29nbGUuY29t"/>
        <xltc2:hyperlink startIndex="1833" length="198" url="https://www.google.com/calendar/event?eid=NWdzMGo0ZG5haTE3bXUwcTh0bG1oYnNqZGsgNDI1YmNhMmMzOWMwZjgxYjgzZGI3MmEwMzMwYzY3MmM3ZDNlYmFkYTljOTg4MGJjNzUyNmI2NjQzMTdmNDY1N0Bncm91cC5jYWxlbmRhci5nb29nbGUuY29t"/>
      </ext>
    </x18tc:extLst>
  </x18tc:threadedComment>
  <x18tc:threadedComment ref="A1" dT="2026-03-05T01:57:53.00" personId="{c692a5ac-d6d0-4eba-873b-ac1d4f99221e}" id="{2bbf193f-250c-40e1-b478-43285af92e0b}" done="0">
    <x18tc:text xml:space="preserve">document view https://docs.google.com/document/d/1_GZC73ImG1AN6ltB-Uu9362cRjBB5WGSuSihBp0jsi0/view
 presentation https://docs.google.com/presentation/d/1KxLpS4q8bXiOgqsPNEga9JOdcjCtAGeUDhq7PGnizYo/edit?usp=sharing
 presentation view https://docs.google.com/presentation/d/1KxLpS4q8bXiOgqsPNEga9JOdcjCtAGeUDhq7PGnizYo/view
 presentation html https://docs.google.com/presentation/d/1KxLpS4q8bXiOgqsPNEga9JOdcjCtAGeUDhq7PGnizYo/htmlpresent
 photo https://drive.google.com/file/d/1Ck6QU1d9DDpRC53UzMW8HtbqWW1KH2o9/view?usp=sharing
 document https://docs.google.com/document/d/1cHtB5rpubS-TYcBOqYbRh_PpKJNp5wb_xEYts7PjV-Q/edit?usp=sharing
 document view https://docs.google.com/document/d/1cHtB5rpubS-TYcBOqYbRh_PpKJNp5wb_xEYts7PjV-Q/view
 presentation https://docs.google.com/presentation/d/1720FmjtVpwqyEdp96C17XI-85nycDidt1PVdgyzTO74/edit?usp=sharing
 presentation view https://docs.google.com/presentation/d/1720FmjtVpwqyEdp96C17XI-85nycDidt1PVdgyzTO74/view
 presentation html https://docs.google.com/presentation/d/1720FmjtVpwqyEdp96C17XI-85nycDidt1PVdgyzTO74/htmlpresent
 document https://docs.google.com/document/d/1W100JWMHvGZhjvnu5MSzoVeEp-0m_ayaZf4v8Sp9JQc/edit?usp=sharing
 document view https://docs.google.com/document/d/1W100JWMHvGZhjvnu5MSzoVeEp-0m_ayaZf4v8Sp9JQc/view
 presentation https://docs.google.com/presentation/d/1qZcaaULQEbzhqUuo_TODrAjLLT1UXc9jvSUTgG-zmsQ/edit?usp=sharing
 presentation view https://docs.google.com/presentation/d/1qZcaaULQEbzhqUuo_TODrAjLLT1UXc9jvSUTgG-zmsQ/view
 presentation html https://docs.google.com/presentation/d/1qZcaaULQEbzhqUuo_TODrAjLLT1UXc9jvSUTgG-zmsQ/htmlpresent
 document https://docs.google.com/document/d/1isFS_XkuLo1qVb7sZndg_DX4GGjCZWwZN-B7RoQ8N9Y/edit?usp=sharing
 document view https://docs.google.com/document/d/1isFS_XkuLo1qVb7sZndg_DX4GGjCZWwZN-B7RoQ8N9Y/view
 presentation https://docs.google.com/presentation/d/1Ye_ED7N05CdPK0k350ZRMGAI6igBsHcTb1VGH9XWJVI/edit?usp=sharing</x18tc:text>
    <x18tc:extLst>
      <ext uri="{F7C98A9C-CBB3-438F-8F68-D28B6AF4A901}">
        <xltc2:checksum/>
        <xltc2:hyperlink startIndex="14" length="84" url="https://docs.google.com/document/d/1_GZC73ImG1AN6ltB-Uu9362cRjBB5WGSuSihBp0jsi0/view"/>
        <xltc2:hyperlink startIndex="114" length="100" url="https://docs.google.com/presentation/d/1KxLpS4q8bXiOgqsPNEga9JOdcjCtAGeUDhq7PGnizYo/edit?usp=sharing"/>
        <xltc2:hyperlink startIndex="235" length="88" url="https://docs.google.com/presentation/d/1KxLpS4q8bXiOgqsPNEga9JOdcjCtAGeUDhq7PGnizYo/view"/>
        <xltc2:hyperlink startIndex="344" length="95" url="https://docs.google.com/presentation/d/1KxLpS4q8bXiOgqsPNEga9JOdcjCtAGeUDhq7PGnizYo/htmlpresent"/>
        <xltc2:hyperlink startIndex="448" length="82" url="https://drive.google.com/file/d/1Ck6QU1d9DDpRC53UzMW8HtbqWW1KH2o9/view?usp=sharing"/>
        <xltc2:hyperlink startIndex="542" length="96" url="https://docs.google.com/document/d/1cHtB5rpubS-TYcBOqYbRh_PpKJNp5wb_xEYts7PjV-Q/edit?usp=sharing"/>
        <xltc2:hyperlink startIndex="655" length="84" url="https://docs.google.com/document/d/1cHtB5rpubS-TYcBOqYbRh_PpKJNp5wb_xEYts7PjV-Q/view"/>
        <xltc2:hyperlink startIndex="755" length="100" url="https://docs.google.com/presentation/d/1720FmjtVpwqyEdp96C17XI-85nycDidt1PVdgyzTO74/edit?usp=sharing"/>
        <xltc2:hyperlink startIndex="876" length="88" url="https://docs.google.com/presentation/d/1720FmjtVpwqyEdp96C17XI-85nycDidt1PVdgyzTO74/view"/>
        <xltc2:hyperlink startIndex="985" length="95" url="https://docs.google.com/presentation/d/1720FmjtVpwqyEdp96C17XI-85nycDidt1PVdgyzTO74/htmlpresent"/>
        <xltc2:hyperlink startIndex="1092" length="96" url="https://docs.google.com/document/d/1W100JWMHvGZhjvnu5MSzoVeEp-0m_ayaZf4v8Sp9JQc/edit?usp=sharing"/>
        <xltc2:hyperlink startIndex="1205" length="84" url="https://docs.google.com/document/d/1W100JWMHvGZhjvnu5MSzoVeEp-0m_ayaZf4v8Sp9JQc/view"/>
        <xltc2:hyperlink startIndex="1305" length="100" url="https://docs.google.com/presentation/d/1qZcaaULQEbzhqUuo_TODrAjLLT1UXc9jvSUTgG-zmsQ/edit?usp=sharing"/>
        <xltc2:hyperlink startIndex="1426" length="88" url="https://docs.google.com/presentation/d/1qZcaaULQEbzhqUuo_TODrAjLLT1UXc9jvSUTgG-zmsQ/view"/>
        <xltc2:hyperlink startIndex="1535" length="95" url="https://docs.google.com/presentation/d/1qZcaaULQEbzhqUuo_TODrAjLLT1UXc9jvSUTgG-zmsQ/htmlpresent"/>
        <xltc2:hyperlink startIndex="1642" length="96" url="https://docs.google.com/document/d/1isFS_XkuLo1qVb7sZndg_DX4GGjCZWwZN-B7RoQ8N9Y/edit?usp=sharing"/>
        <xltc2:hyperlink startIndex="1755" length="84" url="https://docs.google.com/document/d/1isFS_XkuLo1qVb7sZndg_DX4GGjCZWwZN-B7RoQ8N9Y/view"/>
        <xltc2:hyperlink startIndex="1855" length="100" url="https://docs.google.com/presentation/d/1Ye_ED7N05CdPK0k350ZRMGAI6igBsHcTb1VGH9XWJVI/edit?usp=sharing"/>
      </ext>
    </x18tc:extLst>
  </x18tc:threadedComment>
  <x18tc:threadedComment ref="A1" dT="2026-03-05T01:57:50.00" personId="{c692a5ac-d6d0-4eba-873b-ac1d4f99221e}" id="{2b1345d6-2ab3-4807-93c8-4f0c0b85fea9}" done="0">
    <x18tc:text xml:space="preserve">presentation https://docs.google.com/presentation/d/13uX01hscBeRAKz_M9FRIOV1jYCHCcmdb8O2J7lJFTbM/edit?usp=sharing
 presentation view https://docs.google.com/presentation/d/13uX01hscBeRAKz_M9FRIOV1jYCHCcmdb8O2J7lJFTbM/view
 presentation html https://docs.google.com/presentation/d/13uX01hscBeRAKz_M9FRIOV1jYCHCcmdb8O2J7lJFTbM/htmlpresent
 document https://docs.google.com/document/d/1yq_PUXv1CeAHZI565Pes6hkmQnG9xBghEszU60_moKM/edit?usp=sharing
 document view https://docs.google.com/document/d/1yq_PUXv1CeAHZI565Pes6hkmQnG9xBghEszU60_moKM/view
 presentation https://docs.google.com/presentation/d/1OPDPLM82uAFbVNtQxsIx1qVFwbTnYrMnkS565DYz0Kc/edit?usp=sharing
 presentation view https://docs.google.com/presentation/d/1OPDPLM82uAFbVNtQxsIx1qVFwbTnYrMnkS565DYz0Kc/view
 presentation html https://docs.google.com/presentation/d/1OPDPLM82uAFbVNtQxsIx1qVFwbTnYrMnkS565DYz0Kc/htmlpresent
 document https://docs.google.com/document/d/1W3AaeONe6UMY1zCizllJMt2p4hAB-yHY0AcaWl72yh0/edit?usp=sharing
 document view https://docs.google.com/document/d/1W3AaeONe6UMY1zCizllJMt2p4hAB-yHY0AcaWl72yh0/view
 presentation https://docs.google.com/presentation/d/1Y9zCthUvYBJfdPmah95dSrjP6-lQCZO3Z3JOPvN4HYU/edit?usp=sharing
 presentation view https://docs.google.com/presentation/d/1Y9zCthUvYBJfdPmah95dSrjP6-lQCZO3Z3JOPvN4HYU/view
 presentation html https://docs.google.com/presentation/d/1Y9zCthUvYBJfdPmah95dSrjP6-lQCZO3Z3JOPvN4HYU/htmlpresent
 photo https://drive.google.com/file/d/18vt5PhP25M88bGY6XEV72zenEpaSIp1L/view?usp=sharing
 document https://docs.google.com/document/d/1a2RSd_zzJSSIuhu6-HK_jFkuxJXSmihqXO2esmI3tRg/edit?usp=sharing
 document view https://docs.google.com/document/d/1a2RSd_zzJSSIuhu6-HK_jFkuxJXSmihqXO2esmI3tRg/view
 presentation https://docs.google.com/presentation/d/12eZIQrSbEuR-x2q5Gv42TW4dvHsUslJA2Ftr-_aBqSw/edit?usp=sharing
 presentation view https://docs.google.com/presentation/d/12eZIQrSbEuR-x2q5Gv42TW4dvHsUslJA2Ftr-_aBqSw/view</x18tc:text>
    <x18tc:extLst>
      <ext uri="{F7C98A9C-CBB3-438F-8F68-D28B6AF4A901}">
        <xltc2:checksum/>
        <xltc2:hyperlink startIndex="13" length="100" url="https://docs.google.com/presentation/d/13uX01hscBeRAKz_M9FRIOV1jYCHCcmdb8O2J7lJFTbM/edit?usp=sharing"/>
        <xltc2:hyperlink startIndex="134" length="88" url="https://docs.google.com/presentation/d/13uX01hscBeRAKz_M9FRIOV1jYCHCcmdb8O2J7lJFTbM/view"/>
        <xltc2:hyperlink startIndex="243" length="95" url="https://docs.google.com/presentation/d/13uX01hscBeRAKz_M9FRIOV1jYCHCcmdb8O2J7lJFTbM/htmlpresent"/>
        <xltc2:hyperlink startIndex="350" length="96" url="https://docs.google.com/document/d/1yq_PUXv1CeAHZI565Pes6hkmQnG9xBghEszU60_moKM/edit?usp=sharing"/>
        <xltc2:hyperlink startIndex="463" length="84" url="https://docs.google.com/document/d/1yq_PUXv1CeAHZI565Pes6hkmQnG9xBghEszU60_moKM/view"/>
        <xltc2:hyperlink startIndex="563" length="100" url="https://docs.google.com/presentation/d/1OPDPLM82uAFbVNtQxsIx1qVFwbTnYrMnkS565DYz0Kc/edit?usp=sharing"/>
        <xltc2:hyperlink startIndex="684" length="88" url="https://docs.google.com/presentation/d/1OPDPLM82uAFbVNtQxsIx1qVFwbTnYrMnkS565DYz0Kc/view"/>
        <xltc2:hyperlink startIndex="793" length="95" url="https://docs.google.com/presentation/d/1OPDPLM82uAFbVNtQxsIx1qVFwbTnYrMnkS565DYz0Kc/htmlpresent"/>
        <xltc2:hyperlink startIndex="900" length="96" url="https://docs.google.com/document/d/1W3AaeONe6UMY1zCizllJMt2p4hAB-yHY0AcaWl72yh0/edit?usp=sharing"/>
        <xltc2:hyperlink startIndex="1013" length="84" url="https://docs.google.com/document/d/1W3AaeONe6UMY1zCizllJMt2p4hAB-yHY0AcaWl72yh0/view"/>
        <xltc2:hyperlink startIndex="1113" length="100" url="https://docs.google.com/presentation/d/1Y9zCthUvYBJfdPmah95dSrjP6-lQCZO3Z3JOPvN4HYU/edit?usp=sharing"/>
        <xltc2:hyperlink startIndex="1234" length="88" url="https://docs.google.com/presentation/d/1Y9zCthUvYBJfdPmah95dSrjP6-lQCZO3Z3JOPvN4HYU/view"/>
        <xltc2:hyperlink startIndex="1343" length="95" url="https://docs.google.com/presentation/d/1Y9zCthUvYBJfdPmah95dSrjP6-lQCZO3Z3JOPvN4HYU/htmlpresent"/>
        <xltc2:hyperlink startIndex="1447" length="82" url="https://drive.google.com/file/d/18vt5PhP25M88bGY6XEV72zenEpaSIp1L/view?usp=sharing"/>
        <xltc2:hyperlink startIndex="1541" length="96" url="https://docs.google.com/document/d/1a2RSd_zzJSSIuhu6-HK_jFkuxJXSmihqXO2esmI3tRg/edit?usp=sharing"/>
        <xltc2:hyperlink startIndex="1654" length="84" url="https://docs.google.com/document/d/1a2RSd_zzJSSIuhu6-HK_jFkuxJXSmihqXO2esmI3tRg/view"/>
        <xltc2:hyperlink startIndex="1754" length="100" url="https://docs.google.com/presentation/d/12eZIQrSbEuR-x2q5Gv42TW4dvHsUslJA2Ftr-_aBqSw/edit?usp=sharing"/>
        <xltc2:hyperlink startIndex="1875" length="88" url="https://docs.google.com/presentation/d/12eZIQrSbEuR-x2q5Gv42TW4dvHsUslJA2Ftr-_aBqSw/view"/>
      </ext>
    </x18tc:extLst>
  </x18tc:threadedComment>
  <x18tc:threadedComment ref="A1" dT="2026-03-05T01:57:56.00" personId="{c692a5ac-d6d0-4eba-873b-ac1d4f99221e}" id="{30995754-3494-4ca3-bd95-088e0336da96}" done="0">
    <x18tc:text xml:space="preserve">HTML https://drive.google.com/file/d/1mPeyuZMcEkUh7vG-UHihpYNiI6Ar2Wzr/view?usp=sharing</x18tc:text>
    <x18tc:extLst>
      <ext uri="{F7C98A9C-CBB3-438F-8F68-D28B6AF4A901}">
        <xltc2:checksum/>
        <xltc2:hyperlink startIndex="5" length="82" url="https://drive.google.com/file/d/1mPeyuZMcEkUh7vG-UHihpYNiI6Ar2Wzr/view?usp=sharing"/>
      </ext>
    </x18tc:extLst>
  </x18tc:threadedComment>
  <x18tc:threadedComment ref="A1" dT="2026-03-05T01:57:47.00" personId="{c692a5ac-d6d0-4eba-873b-ac1d4f99221e}" id="{a991c1b0-2f5e-4cce-80a2-4ab8f1a2d544}" done="0">
    <x18tc:text xml:space="preserve">target url https://sites.google.com/luckyfrogphotos.com/brand-activation-silicon-beach/tech-activation-los-angeles
 folder top https://drive.google.com/drive/folders/1V0uy7wgFoIyogwpxX6VGfSe-ix1AwZDk?usp=sharing
 rss feed https://news.google.com/rss/search?q=photobooth
 folder articles https://drive.google.com/drive/folders/1wV47u9eGA9lzu0Ttr32cFU_VGhpxnz7-?usp=sharing
 folder photos https://drive.google.com/drive/folders/1CVXD8Jq21WruVp3unel8gg4uW7r0ZANx?usp=sharing
 folder pdfs https://drive.google.com/drive/folders/1zdfAACdfwWL0LloSopCytBC6QM4-QcSn?usp=sharing
 folder slides https://drive.google.com/drive/folders/1F--GHqxMcoyF3C4q2T5cpnZVK27cTzk5?usp=sharing
 photo https://drive.google.com/file/d/1vOOZNTuVelT3hJknH2TwT7pDxoq-_vxT/view?usp=sharing
 photo https://drive.google.com/file/d/1vlBfbcfKonCpshhPIaw04sNOKvV3Bjni/view?usp=sharing
 spreadsheet https://docs.google.com/spreadsheets/d/1FR8mAHuzSpYw2w8x9c_-Om4hSJtsUgK2gmHDXtFQ_-8/edit?usp=sharing
 spreadsheet pubhtml https://docs.google.com/spreadsheets/d/1FR8mAHuzSpYw2w8x9c_-Om4hSJtsUgK2gmHDXtFQ_-8/view
 form https://docs.google.com/forms/d/1rxIWZTdIK8bvqre67AQNp7JtaxAL57OaIj0OK4DPRjA/edit?usp=sharing
 drawing https://docs.google.com/drawings/d/1nStXElJT6kGPgdrpgFbRgqnQP_337lftwZ-c4ZeP_t4/edit?usp=sharing
 document https://docs.google.com/document/d/11YtELvbTGA-SUK76Wh8rLArWYylNL2auxNbYsCAt5l0/edit?usp=sharing
 document view https://docs.google.com/document/d/11YtELvbTGA-SUK76Wh8rLArWYylNL2auxNbYsCAt5l0/view
 presentation https://docs.google.com/presentation/d/1zixMLgT_-DAbZt4TV9PHXbBP9yJz2QvuiQBroElOLPU/edit?usp=sharing
 presentation view https://docs.google.com/presentation/d/1zixMLgT_-DAbZt4TV9PHXbBP9yJz2QvuiQBroElOLPU/view
 presentation html https://docs.google.com/presentation/d/1zixMLgT_-DAbZt4TV9PHXbBP9yJz2QvuiQBroElOLPU/htmlpresent
 calendar https://calendar.google.com/calendar/embed?src=425bca2c39c0f81b83db72a0330c672c7d3ebada9c9880bc7526b664317f4657@group.calendar.google.com</x18tc:text>
    <x18tc:extLst>
      <ext uri="{F7C98A9C-CBB3-438F-8F68-D28B6AF4A901}">
        <xltc2:checksum/>
        <xltc2:hyperlink startIndex="11" length="103" url="https://sites.google.com/luckyfrogphotos.com/brand-activation-silicon-beach/tech-activation-los-angeles"/>
        <xltc2:hyperlink startIndex="128" length="84" url="https://drive.google.com/drive/folders/1V0uy7wgFoIyogwpxX6VGfSe-ix1AwZDk?usp=sharing"/>
        <xltc2:hyperlink startIndex="224" length="47" url="https://news.google.com/rss/search?q=photobooth"/>
        <xltc2:hyperlink startIndex="290" length="84" url="https://drive.google.com/drive/folders/1wV47u9eGA9lzu0Ttr32cFU_VGhpxnz7-?usp=sharing"/>
        <xltc2:hyperlink startIndex="391" length="84" url="https://drive.google.com/drive/folders/1CVXD8Jq21WruVp3unel8gg4uW7r0ZANx?usp=sharing"/>
        <xltc2:hyperlink startIndex="490" length="84" url="https://drive.google.com/drive/folders/1zdfAACdfwWL0LloSopCytBC6QM4-QcSn?usp=sharing"/>
        <xltc2:hyperlink startIndex="591" length="84" url="https://drive.google.com/drive/folders/1F--GHqxMcoyF3C4q2T5cpnZVK27cTzk5?usp=sharing"/>
        <xltc2:hyperlink startIndex="684" length="82" url="https://drive.google.com/file/d/1vOOZNTuVelT3hJknH2TwT7pDxoq-_vxT/view?usp=sharing"/>
        <xltc2:hyperlink startIndex="775" length="82" url="https://drive.google.com/file/d/1vlBfbcfKonCpshhPIaw04sNOKvV3Bjni/view?usp=sharing"/>
        <xltc2:hyperlink startIndex="872" length="100" url="https://docs.google.com/spreadsheets/d/1FR8mAHuzSpYw2w8x9c_-Om4hSJtsUgK2gmHDXtFQ_-8/edit?usp=sharing"/>
        <xltc2:hyperlink startIndex="995" length="88" url="https://docs.google.com/spreadsheets/d/1FR8mAHuzSpYw2w8x9c_-Om4hSJtsUgK2gmHDXtFQ_-8/view"/>
        <xltc2:hyperlink startIndex="1091" length="93" url="https://docs.google.com/forms/d/1rxIWZTdIK8bvqre67AQNp7JtaxAL57OaIj0OK4DPRjA/edit?usp=sharing"/>
        <xltc2:hyperlink startIndex="1195" length="96" url="https://docs.google.com/drawings/d/1nStXElJT6kGPgdrpgFbRgqnQP_337lftwZ-c4ZeP_t4/edit?usp=sharing"/>
        <xltc2:hyperlink startIndex="1303" length="96" url="https://docs.google.com/document/d/11YtELvbTGA-SUK76Wh8rLArWYylNL2auxNbYsCAt5l0/edit?usp=sharing"/>
        <xltc2:hyperlink startIndex="1416" length="84" url="https://docs.google.com/document/d/11YtELvbTGA-SUK76Wh8rLArWYylNL2auxNbYsCAt5l0/view"/>
        <xltc2:hyperlink startIndex="1516" length="100" url="https://docs.google.com/presentation/d/1zixMLgT_-DAbZt4TV9PHXbBP9yJz2QvuiQBroElOLPU/edit?usp=sharing"/>
        <xltc2:hyperlink startIndex="1637" length="88" url="https://docs.google.com/presentation/d/1zixMLgT_-DAbZt4TV9PHXbBP9yJz2QvuiQBroElOLPU/view"/>
        <xltc2:hyperlink startIndex="1746" length="95" url="https://docs.google.com/presentation/d/1zixMLgT_-DAbZt4TV9PHXbBP9yJz2QvuiQBroElOLPU/htmlpresent"/>
        <xltc2:hyperlink startIndex="1853" length="137" url="https://calendar.google.com/calendar/embed?src=425bca2c39c0f81b83db72a0330c672c7d3ebada9c9880bc7526b664317f4657@group.calendar.google.com"/>
      </ext>
    </x18tc:extLst>
  </x18tc:threadedComment>
  <x18tc:threadedComment ref="A1" dT="2026-03-05T01:57:52.00" personId="{c692a5ac-d6d0-4eba-873b-ac1d4f99221e}" id="{00b2316d-a8d2-49ed-a5aa-9b85e8923950}" done="0">
    <x18tc:text xml:space="preserve">presentation html https://docs.google.com/presentation/d/1lWS7aBihXSD6BotlyywEY9giAcz2pwejsyHu4zNGacM/htmlpresent
 document https://docs.google.com/document/d/1vMpo7g74qoF4tlQHiUeY3HAHRtFM8_thL-39ABV0JDg/edit?usp=sharing
 document view https://docs.google.com/document/d/1vMpo7g74qoF4tlQHiUeY3HAHRtFM8_thL-39ABV0JDg/view
 presentation https://docs.google.com/presentation/d/1aqR37Rsej2Jd6u5kVyrE3JVXxEMIGc0dsxp_D11Pkc4/edit?usp=sharing
 presentation view https://docs.google.com/presentation/d/1aqR37Rsej2Jd6u5kVyrE3JVXxEMIGc0dsxp_D11Pkc4/view
 presentation html https://docs.google.com/presentation/d/1aqR37Rsej2Jd6u5kVyrE3JVXxEMIGc0dsxp_D11Pkc4/htmlpresent
 photo https://drive.google.com/file/d/1Pa2ux0PMnrJ7y7fVZuApgm9gZlGrCvkP/view?usp=sharing
 document https://docs.google.com/document/d/1oE3Zfitol1b31kZadqvsbg1PeT4wkkaWHx06BMeRqdE/edit?usp=sharing
 document view https://docs.google.com/document/d/1oE3Zfitol1b31kZadqvsbg1PeT4wkkaWHx06BMeRqdE/view
 presentation https://docs.google.com/presentation/d/1bhlo-FHVyvSReZOWoOBvXKWitJaKEbtszC2uOaOXQfI/edit?usp=sharing
 presentation view https://docs.google.com/presentation/d/1bhlo-FHVyvSReZOWoOBvXKWitJaKEbtszC2uOaOXQfI/view
 presentation html https://docs.google.com/presentation/d/1bhlo-FHVyvSReZOWoOBvXKWitJaKEbtszC2uOaOXQfI/htmlpresent
 document https://docs.google.com/document/d/1po2hi9r8fGbthx1_VnTXYo3nEs29jNzVGPuI50ubUiQ/edit?usp=sharing
 document view https://docs.google.com/document/d/1po2hi9r8fGbthx1_VnTXYo3nEs29jNzVGPuI50ubUiQ/view
 presentation https://docs.google.com/presentation/d/1KPYplxTbTHDp1s2bya_iFvgLtO_dnoXiANUmqCwj6ek/edit?usp=sharing
 presentation view https://docs.google.com/presentation/d/1KPYplxTbTHDp1s2bya_iFvgLtO_dnoXiANUmqCwj6ek/view
 presentation html https://docs.google.com/presentation/d/1KPYplxTbTHDp1s2bya_iFvgLtO_dnoXiANUmqCwj6ek/htmlpresent
 document https://docs.google.com/document/d/1_GZC73ImG1AN6ltB-Uu9362cRjBB5WGSuSihBp0jsi0/edit?usp=sharing</x18tc:text>
    <x18tc:extLst>
      <ext uri="{F7C98A9C-CBB3-438F-8F68-D28B6AF4A901}">
        <xltc2:checksum/>
        <xltc2:hyperlink startIndex="18" length="95" url="https://docs.google.com/presentation/d/1lWS7aBihXSD6BotlyywEY9giAcz2pwejsyHu4zNGacM/htmlpresent"/>
        <xltc2:hyperlink startIndex="125" length="96" url="https://docs.google.com/document/d/1vMpo7g74qoF4tlQHiUeY3HAHRtFM8_thL-39ABV0JDg/edit?usp=sharing"/>
        <xltc2:hyperlink startIndex="238" length="84" url="https://docs.google.com/document/d/1vMpo7g74qoF4tlQHiUeY3HAHRtFM8_thL-39ABV0JDg/view"/>
        <xltc2:hyperlink startIndex="338" length="100" url="https://docs.google.com/presentation/d/1aqR37Rsej2Jd6u5kVyrE3JVXxEMIGc0dsxp_D11Pkc4/edit?usp=sharing"/>
        <xltc2:hyperlink startIndex="459" length="88" url="https://docs.google.com/presentation/d/1aqR37Rsej2Jd6u5kVyrE3JVXxEMIGc0dsxp_D11Pkc4/view"/>
        <xltc2:hyperlink startIndex="568" length="95" url="https://docs.google.com/presentation/d/1aqR37Rsej2Jd6u5kVyrE3JVXxEMIGc0dsxp_D11Pkc4/htmlpresent"/>
        <xltc2:hyperlink startIndex="672" length="82" url="https://drive.google.com/file/d/1Pa2ux0PMnrJ7y7fVZuApgm9gZlGrCvkP/view?usp=sharing"/>
        <xltc2:hyperlink startIndex="766" length="96" url="https://docs.google.com/document/d/1oE3Zfitol1b31kZadqvsbg1PeT4wkkaWHx06BMeRqdE/edit?usp=sharing"/>
        <xltc2:hyperlink startIndex="879" length="84" url="https://docs.google.com/document/d/1oE3Zfitol1b31kZadqvsbg1PeT4wkkaWHx06BMeRqdE/view"/>
        <xltc2:hyperlink startIndex="979" length="100" url="https://docs.google.com/presentation/d/1bhlo-FHVyvSReZOWoOBvXKWitJaKEbtszC2uOaOXQfI/edit?usp=sharing"/>
        <xltc2:hyperlink startIndex="1100" length="88" url="https://docs.google.com/presentation/d/1bhlo-FHVyvSReZOWoOBvXKWitJaKEbtszC2uOaOXQfI/view"/>
        <xltc2:hyperlink startIndex="1209" length="95" url="https://docs.google.com/presentation/d/1bhlo-FHVyvSReZOWoOBvXKWitJaKEbtszC2uOaOXQfI/htmlpresent"/>
        <xltc2:hyperlink startIndex="1316" length="96" url="https://docs.google.com/document/d/1po2hi9r8fGbthx1_VnTXYo3nEs29jNzVGPuI50ubUiQ/edit?usp=sharing"/>
        <xltc2:hyperlink startIndex="1429" length="84" url="https://docs.google.com/document/d/1po2hi9r8fGbthx1_VnTXYo3nEs29jNzVGPuI50ubUiQ/view"/>
        <xltc2:hyperlink startIndex="1529" length="100" url="https://docs.google.com/presentation/d/1KPYplxTbTHDp1s2bya_iFvgLtO_dnoXiANUmqCwj6ek/edit?usp=sharing"/>
        <xltc2:hyperlink startIndex="1650" length="88" url="https://docs.google.com/presentation/d/1KPYplxTbTHDp1s2bya_iFvgLtO_dnoXiANUmqCwj6ek/view"/>
        <xltc2:hyperlink startIndex="1759" length="95" url="https://docs.google.com/presentation/d/1KPYplxTbTHDp1s2bya_iFvgLtO_dnoXiANUmqCwj6ek/htmlpresent"/>
        <xltc2:hyperlink startIndex="1866" length="96" url="https://docs.google.com/document/d/1_GZC73ImG1AN6ltB-Uu9362cRjBB5WGSuSihBp0jsi0/edit?usp=sharing"/>
      </ext>
    </x18tc:extLst>
  </x18tc:threadedComment>
  <x18tc:threadedComment ref="A1" dT="2026-03-05T01:57:49.00" personId="{c692a5ac-d6d0-4eba-873b-ac1d4f99221e}" id="{bb2adadb-6018-4cb6-bd10-3ba7d96d04f2}" done="0">
    <x18tc:text xml:space="preserve">Calendar - All Day Event https://www.google.com/calendar/event?eid=YnUyZDk2OG1xdmYwYTJpNjVsN25wMWozdmsgNDI1YmNhMmMzOWMwZjgxYjgzZGI3MmEwMzMwYzY3MmM3ZDNlYmFkYTljOTg4MGJjNzUyNmI2NjQzMTdmNDY1N0Bncm91cC5jYWxlbmRhci5nb29nbGUuY29t
 Calendar - All Day Event https://www.google.com/calendar/event?eid=YzdvMDl0MnNuMG1yZWtvYzR0cHBmbGdoaWMgNDI1YmNhMmMzOWMwZjgxYjgzZGI3MmEwMzMwYzY3MmM3ZDNlYmFkYTljOTg4MGJjNzUyNmI2NjQzMTdmNDY1N0Bncm91cC5jYWxlbmRhci5nb29nbGUuY29t
 Calendar - All Day Event https://www.google.com/calendar/event?eid=cnI5Ym1idXFyZmMxdGR0MWRsMzZrbWttZmsgNDI1YmNhMmMzOWMwZjgxYjgzZGI3MmEwMzMwYzY3MmM3ZDNlYmFkYTljOTg4MGJjNzUyNmI2NjQzMTdmNDY1N0Bncm91cC5jYWxlbmRhci5nb29nbGUuY29t
 Calendar - All Day Event https://www.google.com/calendar/event?eid=bnBhODdsMG01bXVzM3BhN2c0YTcwNnBlYWcgNDI1YmNhMmMzOWMwZjgxYjgzZGI3MmEwMzMwYzY3MmM3ZDNlYmFkYTljOTg4MGJjNzUyNmI2NjQzMTdmNDY1N0Bncm91cC5jYWxlbmRhci5nb29nbGUuY29t
 sheet https://docs.google.com/spreadsheets/d/1FR8mAHuzSpYw2w8x9c_-Om4hSJtsUgK2gmHDXtFQ_-8/edit#gid=0
 sheet https://docs.google.com/spreadsheets/d/1FR8mAHuzSpYw2w8x9c_-Om4hSJtsUgK2gmHDXtFQ_-8/edit#gid=1153714324
 sheet https://docs.google.com/spreadsheets/d/1FR8mAHuzSpYw2w8x9c_-Om4hSJtsUgK2gmHDXtFQ_-8/edit#gid=671564452
 sheet https://docs.google.com/spreadsheets/d/1FR8mAHuzSpYw2w8x9c_-Om4hSJtsUgK2gmHDXtFQ_-8/edit#gid=1710575977
 sheet https://docs.google.com/spreadsheets/d/1FR8mAHuzSpYw2w8x9c_-Om4hSJtsUgK2gmHDXtFQ_-8/edit#gid=956835089
 folder Microsoft Files https://drive.google.com/drive/folders/1ZhAfZq83RHNjhk-uPAXl20T9Sq2mt6Hg?usp=sharing
 photo https://drive.google.com/file/d/1X_veMGreiwUGnXFkDv4OwAkCHxQy9faq/view?usp=sharing
 photo https://drive.google.com/file/d/1qDRezGc6S-GXO1Ums-z58A4tZj8QfUxZ/view?usp=sharing
 document https://docs.google.com/document/d/1JdOqL617yy-da-wo9--A6OhNMYfe3hp0eSTk_Ixp_U0/edit?usp=sharing
 document view https://docs.google.com/document/d/1JdOqL617yy-da-wo9--A6OhNMYfe3hp0eSTk_Ixp_U0/view</x18tc:text>
    <x18tc:extLst>
      <ext uri="{F7C98A9C-CBB3-438F-8F68-D28B6AF4A901}">
        <xltc2:checksum/>
        <xltc2:hyperlink startIndex="25" length="198" url="https://www.google.com/calendar/event?eid=YnUyZDk2OG1xdmYwYTJpNjVsN25wMWozdmsgNDI1YmNhMmMzOWMwZjgxYjgzZGI3MmEwMzMwYzY3MmM3ZDNlYmFkYTljOTg4MGJjNzUyNmI2NjQzMTdmNDY1N0Bncm91cC5jYWxlbmRhci5nb29nbGUuY29t"/>
        <xltc2:hyperlink startIndex="251" length="198" url="https://www.google.com/calendar/event?eid=YzdvMDl0MnNuMG1yZWtvYzR0cHBmbGdoaWMgNDI1YmNhMmMzOWMwZjgxYjgzZGI3MmEwMzMwYzY3MmM3ZDNlYmFkYTljOTg4MGJjNzUyNmI2NjQzMTdmNDY1N0Bncm91cC5jYWxlbmRhci5nb29nbGUuY29t"/>
        <xltc2:hyperlink startIndex="477" length="198" url="https://www.google.com/calendar/event?eid=cnI5Ym1idXFyZmMxdGR0MWRsMzZrbWttZmsgNDI1YmNhMmMzOWMwZjgxYjgzZGI3MmEwMzMwYzY3MmM3ZDNlYmFkYTljOTg4MGJjNzUyNmI2NjQzMTdmNDY1N0Bncm91cC5jYWxlbmRhci5nb29nbGUuY29t"/>
        <xltc2:hyperlink startIndex="703" length="198" url="https://www.google.com/calendar/event?eid=bnBhODdsMG01bXVzM3BhN2c0YTcwNnBlYWcgNDI1YmNhMmMzOWMwZjgxYjgzZGI3MmEwMzMwYzY3MmM3ZDNlYmFkYTljOTg4MGJjNzUyNmI2NjQzMTdmNDY1N0Bncm91cC5jYWxlbmRhci5nb29nbGUuY29t"/>
        <xltc2:hyperlink startIndex="910" length="94" url="https://docs.google.com/spreadsheets/d/1FR8mAHuzSpYw2w8x9c_-Om4hSJtsUgK2gmHDXtFQ_-8/edit#gid=0"/>
        <xltc2:hyperlink startIndex="1013" length="103" url="https://docs.google.com/spreadsheets/d/1FR8mAHuzSpYw2w8x9c_-Om4hSJtsUgK2gmHDXtFQ_-8/edit#gid=1153714324"/>
        <xltc2:hyperlink startIndex="1125" length="102" url="https://docs.google.com/spreadsheets/d/1FR8mAHuzSpYw2w8x9c_-Om4hSJtsUgK2gmHDXtFQ_-8/edit#gid=671564452"/>
        <xltc2:hyperlink startIndex="1236" length="103" url="https://docs.google.com/spreadsheets/d/1FR8mAHuzSpYw2w8x9c_-Om4hSJtsUgK2gmHDXtFQ_-8/edit#gid=1710575977"/>
        <xltc2:hyperlink startIndex="1348" length="102" url="https://docs.google.com/spreadsheets/d/1FR8mAHuzSpYw2w8x9c_-Om4hSJtsUgK2gmHDXtFQ_-8/edit#gid=956835089"/>
        <xltc2:hyperlink startIndex="1476" length="84" url="https://drive.google.com/drive/folders/1ZhAfZq83RHNjhk-uPAXl20T9Sq2mt6Hg?usp=sharing"/>
        <xltc2:hyperlink startIndex="1569" length="82" url="https://drive.google.com/file/d/1X_veMGreiwUGnXFkDv4OwAkCHxQy9faq/view?usp=sharing"/>
        <xltc2:hyperlink startIndex="1660" length="82" url="https://drive.google.com/file/d/1qDRezGc6S-GXO1Ums-z58A4tZj8QfUxZ/view?usp=sharing"/>
        <xltc2:hyperlink startIndex="1754" length="96" url="https://docs.google.com/document/d/1JdOqL617yy-da-wo9--A6OhNMYfe3hp0eSTk_Ixp_U0/edit?usp=sharing"/>
        <xltc2:hyperlink startIndex="1867" length="84" url="https://docs.google.com/document/d/1JdOqL617yy-da-wo9--A6OhNMYfe3hp0eSTk_Ixp_U0/view"/>
      </ext>
    </x18tc:extLst>
  </x18tc:threadedComment>
  <x18tc:threadedComment ref="A1" dT="2026-03-05T01:57:55.00" personId="{c692a5ac-d6d0-4eba-873b-ac1d4f99221e}" id="{98f8db85-e143-4107-ac10-5c683c2e48ce}" done="0">
    <x18tc:text xml:space="preserve">HTML https://drive.google.com/file/d/12tFOb0UUWVkHnGh4jZ99nR8vK51SZFWX/view?usp=sharing
 HTML https://drive.google.com/file/d/1lT36zOT-SnzNcf3qhqFEqnvyW9CKse2p/view?usp=sharing
 HTML https://drive.google.com/file/d/1TfFuymZbrB0ezawRClzdx7rG3QyYmz4Q/view?usp=sharing
 HTML https://drive.google.com/file/d/1C4vlp3MpcvJpmkhXTQlElYX-I_lIppA0/view?usp=sharing
 HTML https://drive.google.com/file/d/1McmfSDd3in49MjjJNSsc-ieB4hNd5K24/view?usp=sharing
 HTML https://drive.google.com/file/d/1zgdxJ9A2tpijIrJ-quekUWXWzJKBUwTZ/view?usp=sharing
 HTML https://drive.google.com/file/d/1UFyDfdsN1b5wTc7xzzzUiZESVQcsHYzF/view?usp=sharing
 HTML https://drive.google.com/file/d/1P3GEZVvVOtK9QE_Lfq8X1v_RkgSwyPBJ/view?usp=sharing
 HTML https://drive.google.com/file/d/1jGXv8EGcBIc6m3AAgFZhjM4iJOKY3Zqg/view?usp=sharing
 HTML https://drive.google.com/file/d/1PMgmLjZAd0IV_ydMzLWqbZWyrV0YVAg9/view?usp=sharing
 HTML https://drive.google.com/file/d/1wxRPzA7JIAvnbPrqrSwjlMzluPnqrjvF/view?usp=sharing
 HTML https://drive.google.com/file/d/1Utvb5caLXeS1BC-VWcpQIZhD0FSDsILz/view?usp=sharing
 HTML https://drive.google.com/file/d/1EpEI_iTdIupFbsF305u6sCJ6sCocHpID/view?usp=sharing
 HTML https://drive.google.com/file/d/1PZmYi3fbYE3LA1-d2Z4QdB24vAn4BO3q/view?usp=sharing
 HTML https://drive.google.com/file/d/1oi2_F_e0Tfp6AGqBySNJVAYSsPJYEx3p/view?usp=sharing</x18tc:text>
    <x18tc:extLst>
      <ext uri="{F7C98A9C-CBB3-438F-8F68-D28B6AF4A901}">
        <xltc2:checksum/>
        <xltc2:hyperlink startIndex="5" length="82" url="https://drive.google.com/file/d/12tFOb0UUWVkHnGh4jZ99nR8vK51SZFWX/view?usp=sharing"/>
        <xltc2:hyperlink startIndex="95" length="82" url="https://drive.google.com/file/d/1lT36zOT-SnzNcf3qhqFEqnvyW9CKse2p/view?usp=sharing"/>
        <xltc2:hyperlink startIndex="185" length="82" url="https://drive.google.com/file/d/1TfFuymZbrB0ezawRClzdx7rG3QyYmz4Q/view?usp=sharing"/>
        <xltc2:hyperlink startIndex="275" length="82" url="https://drive.google.com/file/d/1C4vlp3MpcvJpmkhXTQlElYX-I_lIppA0/view?usp=sharing"/>
        <xltc2:hyperlink startIndex="365" length="82" url="https://drive.google.com/file/d/1McmfSDd3in49MjjJNSsc-ieB4hNd5K24/view?usp=sharing"/>
        <xltc2:hyperlink startIndex="455" length="82" url="https://drive.google.com/file/d/1zgdxJ9A2tpijIrJ-quekUWXWzJKBUwTZ/view?usp=sharing"/>
        <xltc2:hyperlink startIndex="545" length="82" url="https://drive.google.com/file/d/1UFyDfdsN1b5wTc7xzzzUiZESVQcsHYzF/view?usp=sharing"/>
        <xltc2:hyperlink startIndex="635" length="82" url="https://drive.google.com/file/d/1P3GEZVvVOtK9QE_Lfq8X1v_RkgSwyPBJ/view?usp=sharing"/>
        <xltc2:hyperlink startIndex="725" length="82" url="https://drive.google.com/file/d/1jGXv8EGcBIc6m3AAgFZhjM4iJOKY3Zqg/view?usp=sharing"/>
        <xltc2:hyperlink startIndex="815" length="82" url="https://drive.google.com/file/d/1PMgmLjZAd0IV_ydMzLWqbZWyrV0YVAg9/view?usp=sharing"/>
        <xltc2:hyperlink startIndex="905" length="82" url="https://drive.google.com/file/d/1wxRPzA7JIAvnbPrqrSwjlMzluPnqrjvF/view?usp=sharing"/>
        <xltc2:hyperlink startIndex="995" length="82" url="https://drive.google.com/file/d/1Utvb5caLXeS1BC-VWcpQIZhD0FSDsILz/view?usp=sharing"/>
        <xltc2:hyperlink startIndex="1085" length="82" url="https://drive.google.com/file/d/1EpEI_iTdIupFbsF305u6sCJ6sCocHpID/view?usp=sharing"/>
        <xltc2:hyperlink startIndex="1175" length="82" url="https://drive.google.com/file/d/1PZmYi3fbYE3LA1-d2Z4QdB24vAn4BO3q/view?usp=sharing"/>
        <xltc2:hyperlink startIndex="1265" length="82" url="https://drive.google.com/file/d/1oi2_F_e0Tfp6AGqBySNJVAYSsPJYEx3p/view?usp=sharing"/>
      </ext>
    </x18tc:extLst>
  </x18tc:threadedComment>
  <x18tc:threadedComment ref="A1" dT="2026-03-05T01:57:52.00" personId="{c692a5ac-d6d0-4eba-873b-ac1d4f99221e}" id="{601109aa-6dcf-418b-af80-4d4e1a2e6b40}" done="0">
    <x18tc:text xml:space="preserve">presentation https://docs.google.com/presentation/d/19d-jXD1uspn-XCwdW_0OwUQEtQdZ0EJexeEWfoy9-SI/edit?usp=sharing
 presentation view https://docs.google.com/presentation/d/19d-jXD1uspn-XCwdW_0OwUQEtQdZ0EJexeEWfoy9-SI/view
 presentation html https://docs.google.com/presentation/d/19d-jXD1uspn-XCwdW_0OwUQEtQdZ0EJexeEWfoy9-SI/htmlpresent
 document https://docs.google.com/document/d/1jaU6iRX4KREwD6hTLKH4ghdHOxuU-lrIWz-j-aGc_BA/edit?usp=sharing
 document view https://docs.google.com/document/d/1jaU6iRX4KREwD6hTLKH4ghdHOxuU-lrIWz-j-aGc_BA/view
 presentation https://docs.google.com/presentation/d/1RefbJObYeu5p-9eCUaUKGEq1qXT87cpOeznA-BKwYE4/edit?usp=sharing
 presentation view https://docs.google.com/presentation/d/1RefbJObYeu5p-9eCUaUKGEq1qXT87cpOeznA-BKwYE4/view
 presentation html https://docs.google.com/presentation/d/1RefbJObYeu5p-9eCUaUKGEq1qXT87cpOeznA-BKwYE4/htmlpresent
 photo https://drive.google.com/file/d/1vhRe_DzzVQkmCC_yc_HkqOReUvAlrZMF/view?usp=sharing
 document https://docs.google.com/document/d/1ijsUh2OuZcZQEGltIekt-Vd3ig4q3DQTD3hCwsgSEZc/edit?usp=sharing
 document view https://docs.google.com/document/d/1ijsUh2OuZcZQEGltIekt-Vd3ig4q3DQTD3hCwsgSEZc/view
 presentation https://docs.google.com/presentation/d/1BfNtGOjIZz6-pV4qdqJvHRHt3nD9zs4Xg71lq-gkFNM/edit?usp=sharing
 presentation view https://docs.google.com/presentation/d/1BfNtGOjIZz6-pV4qdqJvHRHt3nD9zs4Xg71lq-gkFNM/view
 presentation html https://docs.google.com/presentation/d/1BfNtGOjIZz6-pV4qdqJvHRHt3nD9zs4Xg71lq-gkFNM/htmlpresent
 document https://docs.google.com/document/d/1w12S9gOamRovAQasfcbhbNv8mY2YiKdUbH5DBmnubuM/edit?usp=sharing
 document view https://docs.google.com/document/d/1w12S9gOamRovAQasfcbhbNv8mY2YiKdUbH5DBmnubuM/view
 presentation https://docs.google.com/presentation/d/1lWS7aBihXSD6BotlyywEY9giAcz2pwejsyHu4zNGacM/edit?usp=sharing
 presentation view https://docs.google.com/presentation/d/1lWS7aBihXSD6BotlyywEY9giAcz2pwejsyHu4zNGacM/view</x18tc:text>
    <x18tc:extLst>
      <ext uri="{F7C98A9C-CBB3-438F-8F68-D28B6AF4A901}">
        <xltc2:checksum/>
        <xltc2:hyperlink startIndex="13" length="100" url="https://docs.google.com/presentation/d/19d-jXD1uspn-XCwdW_0OwUQEtQdZ0EJexeEWfoy9-SI/edit?usp=sharing"/>
        <xltc2:hyperlink startIndex="134" length="88" url="https://docs.google.com/presentation/d/19d-jXD1uspn-XCwdW_0OwUQEtQdZ0EJexeEWfoy9-SI/view"/>
        <xltc2:hyperlink startIndex="243" length="95" url="https://docs.google.com/presentation/d/19d-jXD1uspn-XCwdW_0OwUQEtQdZ0EJexeEWfoy9-SI/htmlpresent"/>
        <xltc2:hyperlink startIndex="350" length="96" url="https://docs.google.com/document/d/1jaU6iRX4KREwD6hTLKH4ghdHOxuU-lrIWz-j-aGc_BA/edit?usp=sharing"/>
        <xltc2:hyperlink startIndex="463" length="84" url="https://docs.google.com/document/d/1jaU6iRX4KREwD6hTLKH4ghdHOxuU-lrIWz-j-aGc_BA/view"/>
        <xltc2:hyperlink startIndex="563" length="100" url="https://docs.google.com/presentation/d/1RefbJObYeu5p-9eCUaUKGEq1qXT87cpOeznA-BKwYE4/edit?usp=sharing"/>
        <xltc2:hyperlink startIndex="684" length="88" url="https://docs.google.com/presentation/d/1RefbJObYeu5p-9eCUaUKGEq1qXT87cpOeznA-BKwYE4/view"/>
        <xltc2:hyperlink startIndex="793" length="95" url="https://docs.google.com/presentation/d/1RefbJObYeu5p-9eCUaUKGEq1qXT87cpOeznA-BKwYE4/htmlpresent"/>
        <xltc2:hyperlink startIndex="897" length="82" url="https://drive.google.com/file/d/1vhRe_DzzVQkmCC_yc_HkqOReUvAlrZMF/view?usp=sharing"/>
        <xltc2:hyperlink startIndex="991" length="96" url="https://docs.google.com/document/d/1ijsUh2OuZcZQEGltIekt-Vd3ig4q3DQTD3hCwsgSEZc/edit?usp=sharing"/>
        <xltc2:hyperlink startIndex="1104" length="84" url="https://docs.google.com/document/d/1ijsUh2OuZcZQEGltIekt-Vd3ig4q3DQTD3hCwsgSEZc/view"/>
        <xltc2:hyperlink startIndex="1204" length="100" url="https://docs.google.com/presentation/d/1BfNtGOjIZz6-pV4qdqJvHRHt3nD9zs4Xg71lq-gkFNM/edit?usp=sharing"/>
        <xltc2:hyperlink startIndex="1325" length="88" url="https://docs.google.com/presentation/d/1BfNtGOjIZz6-pV4qdqJvHRHt3nD9zs4Xg71lq-gkFNM/view"/>
        <xltc2:hyperlink startIndex="1434" length="95" url="https://docs.google.com/presentation/d/1BfNtGOjIZz6-pV4qdqJvHRHt3nD9zs4Xg71lq-gkFNM/htmlpresent"/>
        <xltc2:hyperlink startIndex="1541" length="96" url="https://docs.google.com/document/d/1w12S9gOamRovAQasfcbhbNv8mY2YiKdUbH5DBmnubuM/edit?usp=sharing"/>
        <xltc2:hyperlink startIndex="1654" length="84" url="https://docs.google.com/document/d/1w12S9gOamRovAQasfcbhbNv8mY2YiKdUbH5DBmnubuM/view"/>
        <xltc2:hyperlink startIndex="1754" length="100" url="https://docs.google.com/presentation/d/1lWS7aBihXSD6BotlyywEY9giAcz2pwejsyHu4zNGacM/edit?usp=sharing"/>
        <xltc2:hyperlink startIndex="1875" length="88" url="https://docs.google.com/presentation/d/1lWS7aBihXSD6BotlyywEY9giAcz2pwejsyHu4zNGacM/view"/>
      </ext>
    </x18tc:extLst>
  </x18tc:threadedComment>
  <x18tc:threadedComment ref="A1" dT="2026-03-05T01:57:54.00" personId="{c692a5ac-d6d0-4eba-873b-ac1d4f99221e}" id="{f57b9cc4-5e7d-4313-b33c-43f20e3ac0cd}" done="0">
    <x18tc:text xml:space="preserve">presentation view https://docs.google.com/presentation/d/1Ye_ED7N05CdPK0k350ZRMGAI6igBsHcTb1VGH9XWJVI/view
 presentation html https://docs.google.com/presentation/d/1Ye_ED7N05CdPK0k350ZRMGAI6igBsHcTb1VGH9XWJVI/htmlpresent
 photo https://drive.google.com/file/d/1hlgZVFJ3V3V-ERCUaCNvJw98H_luDtzC/view?usp=sharing
 document https://docs.google.com/document/d/1MKc54RBVYXRZOu8W1gmeBcxcFkp23F8AjO12b79rQZM/edit?usp=sharing
 document view https://docs.google.com/document/d/1MKc54RBVYXRZOu8W1gmeBcxcFkp23F8AjO12b79rQZM/view
 presentation https://docs.google.com/presentation/d/1ODwg4Dhl_C7BltMqgWMZExoL3KWm7ixlWwt4Hl6kOYA/edit?usp=sharing
 presentation view https://docs.google.com/presentation/d/1ODwg4Dhl_C7BltMqgWMZExoL3KWm7ixlWwt4Hl6kOYA/view
 presentation html https://docs.google.com/presentation/d/1ODwg4Dhl_C7BltMqgWMZExoL3KWm7ixlWwt4Hl6kOYA/htmlpresent
 document https://docs.google.com/document/d/1N_WmnXk_EKrmi--waoyp9BL8DzcU3hXPOsPLIhPyqQI/edit?usp=sharing
 document view https://docs.google.com/document/d/1N_WmnXk_EKrmi--waoyp9BL8DzcU3hXPOsPLIhPyqQI/view
 presentation https://docs.google.com/presentation/d/1Gx5m3qh53cq8CG9jhSO1RgNzwltLY-5pM-LkN-fIgl8/edit?usp=sharing
 presentation view https://docs.google.com/presentation/d/1Gx5m3qh53cq8CG9jhSO1RgNzwltLY-5pM-LkN-fIgl8/view
 presentation html https://docs.google.com/presentation/d/1Gx5m3qh53cq8CG9jhSO1RgNzwltLY-5pM-LkN-fIgl8/htmlpresent
 folder HTML https://drive.google.com/drive/folders/1tZK-JKJU6Yjk13Enn-2Jz_xmPiFwm78D?usp=sharing
 HTML https://drive.google.com/file/d/1rhLRcFQLhxybwgZaYUQgqLiM6lulcmHK/view?usp=sharing
 HTML https://drive.google.com/file/d/1BBSXXhq8Qw8NWfR--eVuEr7GMLsUyV0g/view?usp=sharing
 HTML https://drive.google.com/file/d/1UPz6hru1gGcsayMKqBjsD5ReXlmF1YzR/view?usp=sharing
 HTML https://drive.google.com/file/d/1tJ5xXBvyMHLHfGoBXkWpZQ5BvKrFJ3Ls/view?usp=sharing
 HTML https://drive.google.com/file/d/1BuI3yse4X25mwZu8IBaRxlJduqznU3In/view?usp=sharing</x18tc:text>
    <x18tc:extLst>
      <ext uri="{F7C98A9C-CBB3-438F-8F68-D28B6AF4A901}">
        <xltc2:checksum/>
        <xltc2:hyperlink startIndex="18" length="88" url="https://docs.google.com/presentation/d/1Ye_ED7N05CdPK0k350ZRMGAI6igBsHcTb1VGH9XWJVI/view"/>
        <xltc2:hyperlink startIndex="127" length="95" url="https://docs.google.com/presentation/d/1Ye_ED7N05CdPK0k350ZRMGAI6igBsHcTb1VGH9XWJVI/htmlpresent"/>
        <xltc2:hyperlink startIndex="231" length="82" url="https://drive.google.com/file/d/1hlgZVFJ3V3V-ERCUaCNvJw98H_luDtzC/view?usp=sharing"/>
        <xltc2:hyperlink startIndex="325" length="96" url="https://docs.google.com/document/d/1MKc54RBVYXRZOu8W1gmeBcxcFkp23F8AjO12b79rQZM/edit?usp=sharing"/>
        <xltc2:hyperlink startIndex="438" length="84" url="https://docs.google.com/document/d/1MKc54RBVYXRZOu8W1gmeBcxcFkp23F8AjO12b79rQZM/view"/>
        <xltc2:hyperlink startIndex="538" length="100" url="https://docs.google.com/presentation/d/1ODwg4Dhl_C7BltMqgWMZExoL3KWm7ixlWwt4Hl6kOYA/edit?usp=sharing"/>
        <xltc2:hyperlink startIndex="659" length="88" url="https://docs.google.com/presentation/d/1ODwg4Dhl_C7BltMqgWMZExoL3KWm7ixlWwt4Hl6kOYA/view"/>
        <xltc2:hyperlink startIndex="768" length="95" url="https://docs.google.com/presentation/d/1ODwg4Dhl_C7BltMqgWMZExoL3KWm7ixlWwt4Hl6kOYA/htmlpresent"/>
        <xltc2:hyperlink startIndex="875" length="96" url="https://docs.google.com/document/d/1N_WmnXk_EKrmi--waoyp9BL8DzcU3hXPOsPLIhPyqQI/edit?usp=sharing"/>
        <xltc2:hyperlink startIndex="988" length="84" url="https://docs.google.com/document/d/1N_WmnXk_EKrmi--waoyp9BL8DzcU3hXPOsPLIhPyqQI/view"/>
        <xltc2:hyperlink startIndex="1088" length="100" url="https://docs.google.com/presentation/d/1Gx5m3qh53cq8CG9jhSO1RgNzwltLY-5pM-LkN-fIgl8/edit?usp=sharing"/>
        <xltc2:hyperlink startIndex="1209" length="88" url="https://docs.google.com/presentation/d/1Gx5m3qh53cq8CG9jhSO1RgNzwltLY-5pM-LkN-fIgl8/view"/>
        <xltc2:hyperlink startIndex="1318" length="95" url="https://docs.google.com/presentation/d/1Gx5m3qh53cq8CG9jhSO1RgNzwltLY-5pM-LkN-fIgl8/htmlpresent"/>
        <xltc2:hyperlink startIndex="1428" length="84" url="https://drive.google.com/drive/folders/1tZK-JKJU6Yjk13Enn-2Jz_xmPiFwm78D?usp=sharing"/>
        <xltc2:hyperlink startIndex="1520" length="82" url="https://drive.google.com/file/d/1rhLRcFQLhxybwgZaYUQgqLiM6lulcmHK/view?usp=sharing"/>
        <xltc2:hyperlink startIndex="1610" length="82" url="https://drive.google.com/file/d/1BBSXXhq8Qw8NWfR--eVuEr7GMLsUyV0g/view?usp=sharing"/>
        <xltc2:hyperlink startIndex="1700" length="82" url="https://drive.google.com/file/d/1UPz6hru1gGcsayMKqBjsD5ReXlmF1YzR/view?usp=sharing"/>
        <xltc2:hyperlink startIndex="1790" length="82" url="https://drive.google.com/file/d/1tJ5xXBvyMHLHfGoBXkWpZQ5BvKrFJ3Ls/view?usp=sharing"/>
        <xltc2:hyperlink startIndex="1880" length="82" url="https://drive.google.com/file/d/1BuI3yse4X25mwZu8IBaRxlJduqznU3In/view?usp=sharing"/>
      </ext>
    </x18tc:extLs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Qi136hXdq1HO6BRHZdkyqgvVrHiLfrRW/view?usp=sharing" TargetMode="External"/><Relationship Id="rId194" Type="http://schemas.openxmlformats.org/officeDocument/2006/relationships/hyperlink" Target="https://drive.google.com/file/d/10SS1l-LRw_BxPsENWBLkf_OJzxfuj-qB/view?usp=sharing" TargetMode="External"/><Relationship Id="rId193" Type="http://schemas.openxmlformats.org/officeDocument/2006/relationships/hyperlink" Target="https://drive.google.com/file/d/1mDrgM1o3KV1Q5fp8drRNDc8g_bI0SFQZ/view?usp=sharing" TargetMode="External"/><Relationship Id="rId192" Type="http://schemas.openxmlformats.org/officeDocument/2006/relationships/hyperlink" Target="https://drive.google.com/file/d/1q44rSFsQd1n5sVDy5xpSkcclxe2AUf-4/view?usp=sharing" TargetMode="External"/><Relationship Id="rId191" Type="http://schemas.openxmlformats.org/officeDocument/2006/relationships/hyperlink" Target="https://drive.google.com/file/d/191STR1BKk7DXf-BGyZ0Ok24tz9zqoflG/view?usp=sharing" TargetMode="External"/><Relationship Id="rId187" Type="http://schemas.openxmlformats.org/officeDocument/2006/relationships/hyperlink" Target="https://drive.google.com/file/d/1n8Z3k8hYV3wdTpCQ5VPAhftL1tW4EN9V/view?usp=sharing" TargetMode="External"/><Relationship Id="rId186" Type="http://schemas.openxmlformats.org/officeDocument/2006/relationships/hyperlink" Target="https://drive.google.com/file/d/1Uc0l5Z1KmtAfi4NYMQ51Qme_WzlsKWVm/view?usp=sharing" TargetMode="External"/><Relationship Id="rId185" Type="http://schemas.openxmlformats.org/officeDocument/2006/relationships/hyperlink" Target="https://drive.google.com/file/d/1Rq1UME913l5LrtHGjf2YA8CdRSZWp7J_/view?usp=sharing" TargetMode="External"/><Relationship Id="rId184" Type="http://schemas.openxmlformats.org/officeDocument/2006/relationships/hyperlink" Target="https://drive.google.com/file/d/1ZFXQ-APRexg0U_a5r0IvTjmqYI9LYcCf/view?usp=sharing" TargetMode="External"/><Relationship Id="rId189" Type="http://schemas.openxmlformats.org/officeDocument/2006/relationships/hyperlink" Target="https://drive.google.com/file/d/1s9CSW8yXz2ErU26dw7FMfuBtKxOVHj4R/view?usp=sharing" TargetMode="External"/><Relationship Id="rId188" Type="http://schemas.openxmlformats.org/officeDocument/2006/relationships/hyperlink" Target="https://drive.google.com/file/d/1QNSlDWKGpCVHIJlH0ajY8mzOGd-70FTS/view?usp=sharing" TargetMode="External"/><Relationship Id="rId183" Type="http://schemas.openxmlformats.org/officeDocument/2006/relationships/hyperlink" Target="https://drive.google.com/file/d/1qxudyQ717CGhQ2jo5TlL0Bik0v6vQTJo/view?usp=sharing" TargetMode="External"/><Relationship Id="rId182" Type="http://schemas.openxmlformats.org/officeDocument/2006/relationships/hyperlink" Target="https://docs.google.com/spreadsheets/d/1yCUEK_kEatca2RrQvAXk3Ubufv-I14VZ/edit?usp=sharing&amp;ouid=115602453726005426174&amp;rtpof=true&amp;sd=true" TargetMode="External"/><Relationship Id="rId181" Type="http://schemas.openxmlformats.org/officeDocument/2006/relationships/hyperlink" Target="https://drive.google.com/file/d/1-c2Z530y2o2L4L0GONdPO3IWj7PY8kf4/view?usp=sharing" TargetMode="External"/><Relationship Id="rId180" Type="http://schemas.openxmlformats.org/officeDocument/2006/relationships/hyperlink" Target="https://docs.google.com/spreadsheets/d/1m1bqJebm9d1ORDjQ9CVIHtC8bURVwNcJ/edit?usp=sharing&amp;ouid=115602453726005426174&amp;rtpof=true&amp;sd=true" TargetMode="External"/><Relationship Id="rId176" Type="http://schemas.openxmlformats.org/officeDocument/2006/relationships/hyperlink" Target="https://docs.google.com/spreadsheets/d/1F4EDa4cN5cP8sHlaKLVryiTEnq4QaP1j/edit?usp=sharing&amp;ouid=115602453726005426174&amp;rtpof=true&amp;sd=true" TargetMode="External"/><Relationship Id="rId297" Type="http://schemas.openxmlformats.org/officeDocument/2006/relationships/hyperlink" Target="https://drive.google.com/file/d/1Z4M_amuY4flHgVPW3UxCJcEHXvMU_gyY/view?usp=sharing" TargetMode="External"/><Relationship Id="rId175" Type="http://schemas.openxmlformats.org/officeDocument/2006/relationships/hyperlink" Target="https://drive.google.com/file/d/1KSBk3kgzoesVzX4ssXdwoy-peOoG9H3e/view?usp=sharing" TargetMode="External"/><Relationship Id="rId296" Type="http://schemas.openxmlformats.org/officeDocument/2006/relationships/hyperlink" Target="https://drive.google.com/file/d/1GSZu4-R8hhkGXe7F7RiFmQao_P2wRBEh/view?usp=sharing" TargetMode="External"/><Relationship Id="rId174" Type="http://schemas.openxmlformats.org/officeDocument/2006/relationships/hyperlink" Target="https://docs.google.com/spreadsheets/d/1-2z38pIs_TYOYJRDoCxYl9U8SEZW7y2Z/edit?usp=sharing&amp;ouid=115602453726005426174&amp;rtpof=true&amp;sd=true" TargetMode="External"/><Relationship Id="rId295" Type="http://schemas.openxmlformats.org/officeDocument/2006/relationships/hyperlink" Target="https://drive.google.com/file/d/1QfAbtEb7Il3xCxwIxR_GaSetXkz_N-J-/view?usp=sharing" TargetMode="External"/><Relationship Id="rId173" Type="http://schemas.openxmlformats.org/officeDocument/2006/relationships/hyperlink" Target="https://drive.google.com/file/d/1H1vcYeLTtkvDJH7nDT_6VLZMllILW1rA/view?usp=sharing" TargetMode="External"/><Relationship Id="rId294" Type="http://schemas.openxmlformats.org/officeDocument/2006/relationships/hyperlink" Target="https://drive.google.com/file/d/1Dv8rDhPsBQj08MlgqI8eKe9t6bHtinXn/view?usp=sharing" TargetMode="External"/><Relationship Id="rId179" Type="http://schemas.openxmlformats.org/officeDocument/2006/relationships/hyperlink" Target="https://drive.google.com/file/d/1Z7Kt5d0E4Eiu8ruf8K9l1bjz3glomNRv/view?usp=sharing" TargetMode="External"/><Relationship Id="rId178" Type="http://schemas.openxmlformats.org/officeDocument/2006/relationships/hyperlink" Target="https://docs.google.com/spreadsheets/d/1f7zBqALrsSS2HG42Ey-UMLg_QkYt7jvL/edit?usp=sharing&amp;ouid=115602453726005426174&amp;rtpof=true&amp;sd=true" TargetMode="External"/><Relationship Id="rId299" Type="http://schemas.openxmlformats.org/officeDocument/2006/relationships/hyperlink" Target="https://drive.google.com/file/d/1AVUqobZV3WO6L_ihKFIeIoG8y57uL0Ew/view?usp=sharing" TargetMode="External"/><Relationship Id="rId177" Type="http://schemas.openxmlformats.org/officeDocument/2006/relationships/hyperlink" Target="https://drive.google.com/file/d/17I3LgtPimxXd8UAWc00aDgsCeU3IL-vl/view?usp=sharing" TargetMode="External"/><Relationship Id="rId298" Type="http://schemas.openxmlformats.org/officeDocument/2006/relationships/hyperlink" Target="https://drive.google.com/file/d/1yOV9eeeKbYLS7HcWgKsOSKqlRymmB877/view?usp=sharing" TargetMode="External"/><Relationship Id="rId198" Type="http://schemas.openxmlformats.org/officeDocument/2006/relationships/hyperlink" Target="https://drive.google.com/file/d/1yE5AfCqnQeouBoLLFiUpQ0kOiFDq6zgx/view?usp=sharing" TargetMode="External"/><Relationship Id="rId197" Type="http://schemas.openxmlformats.org/officeDocument/2006/relationships/hyperlink" Target="https://drive.google.com/file/d/1gdG8FDijbv4y6pFyEyTKKoanKIFraSJL/view?usp=sharing" TargetMode="External"/><Relationship Id="rId196" Type="http://schemas.openxmlformats.org/officeDocument/2006/relationships/hyperlink" Target="https://drive.google.com/file/d/1xPv-VRBZUDp4RnFaGf7Igx1-uWZjzE-L/view?usp=sharing" TargetMode="External"/><Relationship Id="rId195" Type="http://schemas.openxmlformats.org/officeDocument/2006/relationships/hyperlink" Target="https://drive.google.com/file/d/1SLvoHtDa4znx2gE2qSJEHyNDVHRYmx4o/view?usp=sharing" TargetMode="External"/><Relationship Id="rId199" Type="http://schemas.openxmlformats.org/officeDocument/2006/relationships/hyperlink" Target="https://drive.google.com/file/d/1u7wxY0pB91-iG7OZvywTLV-RNJRaYSfF/view?usp=sharing" TargetMode="External"/><Relationship Id="rId150" Type="http://schemas.openxmlformats.org/officeDocument/2006/relationships/hyperlink" Target="https://drive.google.com/file/d/1rhLRcFQLhxybwgZaYUQgqLiM6lulcmHK/view?usp=sharing" TargetMode="External"/><Relationship Id="rId271" Type="http://schemas.openxmlformats.org/officeDocument/2006/relationships/hyperlink" Target="https://docs.google.com/document/d/1CSBx9L8IdFhenCRSVXqHA-ImYbt6e21m/edit?usp=sharing&amp;ouid=115602453726005426174&amp;rtpof=true&amp;sd=true" TargetMode="External"/><Relationship Id="rId392" Type="http://schemas.openxmlformats.org/officeDocument/2006/relationships/hyperlink" Target="https://glamfilterphotobooth.blogspot.com/2026/03/pelican-hill-luxury-brand-photo.html" TargetMode="External"/><Relationship Id="rId270" Type="http://schemas.openxmlformats.org/officeDocument/2006/relationships/hyperlink" Target="https://docs.google.com/document/d/1kjPbVrKPtt-FlxUofcpI-UgGz77QVN0J/edit?usp=sharing&amp;ouid=115602453726005426174&amp;rtpof=true&amp;sd=true" TargetMode="External"/><Relationship Id="rId391" Type="http://schemas.openxmlformats.org/officeDocument/2006/relationships/hyperlink" Target="https://glamfilterphotobooth.blogspot.com/2026/03/the-revery-la-event-photography.html" TargetMode="External"/><Relationship Id="rId390" Type="http://schemas.openxmlformats.org/officeDocument/2006/relationships/hyperlink" Target="https://glamfilterphotobooth.blogspot.com/2026/03/soho-house-west-hollywood-marketing.htm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rive.google.com/drive/folders/1tZK-JKJU6Yjk13Enn-2Jz_xmPiFwm78D?usp=sharing" TargetMode="External"/><Relationship Id="rId4" Type="http://schemas.openxmlformats.org/officeDocument/2006/relationships/hyperlink" Target="https://sites.google.com/luckyfrogphotos.com/brand-activation-silicon-beach/tech-activation-los-angeles" TargetMode="External"/><Relationship Id="rId148" Type="http://schemas.openxmlformats.org/officeDocument/2006/relationships/hyperlink" Target="https://docs.google.com/presentation/d/1Gx5m3qh53cq8CG9jhSO1RgNzwltLY-5pM-LkN-fIgl8/htmlpresent" TargetMode="External"/><Relationship Id="rId269" Type="http://schemas.openxmlformats.org/officeDocument/2006/relationships/hyperlink" Target="https://docs.google.com/document/d/1OmkhxiYOQJLv4XKr4R-4M6TVipNJz7lK/edit?usp=sharing&amp;ouid=115602453726005426174&amp;rtpof=true&amp;sd=true" TargetMode="External"/><Relationship Id="rId9" Type="http://schemas.openxmlformats.org/officeDocument/2006/relationships/hyperlink" Target="https://drive.google.com/drive/folders/1zdfAACdfwWL0LloSopCytBC6QM4-QcSn?usp=sharing" TargetMode="External"/><Relationship Id="rId143" Type="http://schemas.openxmlformats.org/officeDocument/2006/relationships/hyperlink" Target="https://docs.google.com/presentation/d/1ODwg4Dhl_C7BltMqgWMZExoL3KWm7ixlWwt4Hl6kOYA/htmlpresent" TargetMode="External"/><Relationship Id="rId264" Type="http://schemas.openxmlformats.org/officeDocument/2006/relationships/hyperlink" Target="https://docs.google.com/document/d/1fxTphJIx3zaXerEEfqU2Z6VJC8qTPALv/edit?usp=sharing&amp;ouid=115602453726005426174&amp;rtpof=true&amp;sd=true" TargetMode="External"/><Relationship Id="rId385" Type="http://schemas.openxmlformats.org/officeDocument/2006/relationships/hyperlink" Target="https://gifphotoboothrentalorangecounty.blogspot.com/2026/03/ultra-luxury-brand-activation-la.html" TargetMode="External"/><Relationship Id="rId142" Type="http://schemas.openxmlformats.org/officeDocument/2006/relationships/hyperlink" Target="https://docs.google.com/presentation/d/1ODwg4Dhl_C7BltMqgWMZExoL3KWm7ixlWwt4Hl6kOYA/view" TargetMode="External"/><Relationship Id="rId263" Type="http://schemas.openxmlformats.org/officeDocument/2006/relationships/hyperlink" Target="https://docs.google.com/document/d/1wg0ZK6AjOaA61NmyRAc-bEIvDSqNsfUr/edit?usp=sharing&amp;ouid=115602453726005426174&amp;rtpof=true&amp;sd=true" TargetMode="External"/><Relationship Id="rId384" Type="http://schemas.openxmlformats.org/officeDocument/2006/relationships/hyperlink" Target="https://gifphotoboothrentalorangecounty.blogspot.com/2026/03/elite-corporate-event-marketing.html" TargetMode="External"/><Relationship Id="rId141" Type="http://schemas.openxmlformats.org/officeDocument/2006/relationships/hyperlink" Target="https://docs.google.com/presentation/d/1ODwg4Dhl_C7BltMqgWMZExoL3KWm7ixlWwt4Hl6kOYA/edit?usp=sharing" TargetMode="External"/><Relationship Id="rId262" Type="http://schemas.openxmlformats.org/officeDocument/2006/relationships/hyperlink" Target="https://docs.google.com/document/d/1WnuzxzISOCh2OhMPycnUrEplbF7zrl85/edit?usp=sharing&amp;ouid=115602453726005426174&amp;rtpof=true&amp;sd=true" TargetMode="External"/><Relationship Id="rId383" Type="http://schemas.openxmlformats.org/officeDocument/2006/relationships/hyperlink" Target="https://gifphotoboothrentalorangecounty.blogspot.com/2026/03/private-estate-event-photography.html" TargetMode="External"/><Relationship Id="rId140" Type="http://schemas.openxmlformats.org/officeDocument/2006/relationships/hyperlink" Target="https://docs.google.com/document/d/1MKc54RBVYXRZOu8W1gmeBcxcFkp23F8AjO12b79rQZM/view" TargetMode="External"/><Relationship Id="rId261" Type="http://schemas.openxmlformats.org/officeDocument/2006/relationships/hyperlink" Target="https://docs.google.com/document/d/12WhYDpZg7lzwKyrNDTs2dyY0DV_nxrEL/edit?usp=sharing&amp;ouid=115602453726005426174&amp;rtpof=true&amp;sd=true" TargetMode="External"/><Relationship Id="rId382" Type="http://schemas.openxmlformats.org/officeDocument/2006/relationships/hyperlink" Target="https://gifphotoboothrentalorangecounty.blogspot.com/2026/03/skirball-cultural-center-marketing.html" TargetMode="External"/><Relationship Id="rId5" Type="http://schemas.openxmlformats.org/officeDocument/2006/relationships/hyperlink" Target="https://drive.google.com/drive/folders/1V0uy7wgFoIyogwpxX6VGfSe-ix1AwZDk?usp=sharing" TargetMode="External"/><Relationship Id="rId147" Type="http://schemas.openxmlformats.org/officeDocument/2006/relationships/hyperlink" Target="https://docs.google.com/presentation/d/1Gx5m3qh53cq8CG9jhSO1RgNzwltLY-5pM-LkN-fIgl8/view" TargetMode="External"/><Relationship Id="rId268" Type="http://schemas.openxmlformats.org/officeDocument/2006/relationships/hyperlink" Target="https://docs.google.com/document/d/1PHj4ApC5Vjs7dFvIhvC9FWUrxtyAbyc1/edit?usp=sharing&amp;ouid=115602453726005426174&amp;rtpof=true&amp;sd=true" TargetMode="External"/><Relationship Id="rId389" Type="http://schemas.openxmlformats.org/officeDocument/2006/relationships/hyperlink" Target="https://glamfilterphotobooth.blogspot.com/2026/03/chateau-marmont-event-photography.html" TargetMode="External"/><Relationship Id="rId6" Type="http://schemas.openxmlformats.org/officeDocument/2006/relationships/hyperlink" Target="https://news.google.com/rss/search?q=photobooth" TargetMode="External"/><Relationship Id="rId146" Type="http://schemas.openxmlformats.org/officeDocument/2006/relationships/hyperlink" Target="https://docs.google.com/presentation/d/1Gx5m3qh53cq8CG9jhSO1RgNzwltLY-5pM-LkN-fIgl8/edit?usp=sharing" TargetMode="External"/><Relationship Id="rId267" Type="http://schemas.openxmlformats.org/officeDocument/2006/relationships/hyperlink" Target="https://docs.google.com/document/d/1iXYbXvre8jaoWJqJ5cZRRRZQvVwRPsFL/edit?usp=sharing&amp;ouid=115602453726005426174&amp;rtpof=true&amp;sd=true" TargetMode="External"/><Relationship Id="rId388" Type="http://schemas.openxmlformats.org/officeDocument/2006/relationships/hyperlink" Target="https://glamfilterphotobooth.blogspot.com/2026/03/the-maybourne-beverly-hills-marketing.html" TargetMode="External"/><Relationship Id="rId7" Type="http://schemas.openxmlformats.org/officeDocument/2006/relationships/hyperlink" Target="https://drive.google.com/drive/folders/1wV47u9eGA9lzu0Ttr32cFU_VGhpxnz7-?usp=sharing" TargetMode="External"/><Relationship Id="rId145" Type="http://schemas.openxmlformats.org/officeDocument/2006/relationships/hyperlink" Target="https://docs.google.com/document/d/1N_WmnXk_EKrmi--waoyp9BL8DzcU3hXPOsPLIhPyqQI/view" TargetMode="External"/><Relationship Id="rId266" Type="http://schemas.openxmlformats.org/officeDocument/2006/relationships/hyperlink" Target="https://docs.google.com/document/d/16te6xr0ZAATtsvgH3WU8KeKuFzM3tBCV/edit?usp=sharing&amp;ouid=115602453726005426174&amp;rtpof=true&amp;sd=true" TargetMode="External"/><Relationship Id="rId387" Type="http://schemas.openxmlformats.org/officeDocument/2006/relationships/hyperlink" Target="https://glamfilterphotobooth.blogspot.com/2026/03/waldorf-astoria-beverly-hills-photo.html" TargetMode="External"/><Relationship Id="rId8" Type="http://schemas.openxmlformats.org/officeDocument/2006/relationships/hyperlink" Target="https://drive.google.com/drive/folders/1CVXD8Jq21WruVp3unel8gg4uW7r0ZANx?usp=sharing" TargetMode="External"/><Relationship Id="rId144" Type="http://schemas.openxmlformats.org/officeDocument/2006/relationships/hyperlink" Target="https://docs.google.com/document/d/1N_WmnXk_EKrmi--waoyp9BL8DzcU3hXPOsPLIhPyqQI/edit?usp=sharing" TargetMode="External"/><Relationship Id="rId265" Type="http://schemas.openxmlformats.org/officeDocument/2006/relationships/hyperlink" Target="https://docs.google.com/document/d/1r2cqQQDLynBti6u5uMBKg7M_-mKhPMt4/edit?usp=sharing&amp;ouid=115602453726005426174&amp;rtpof=true&amp;sd=true" TargetMode="External"/><Relationship Id="rId386" Type="http://schemas.openxmlformats.org/officeDocument/2006/relationships/hyperlink" Target="https://glamfilterphotobooth.blogspot.com/2026/03/the-beverly-hills-hotel-event-marketing.html" TargetMode="External"/><Relationship Id="rId260" Type="http://schemas.openxmlformats.org/officeDocument/2006/relationships/hyperlink" Target="https://docs.google.com/document/d/1Hd4LggSqsyASpQfWj2TTes_ZgM6kKXLx/edit?usp=sharing&amp;ouid=115602453726005426174&amp;rtpof=true&amp;sd=true" TargetMode="External"/><Relationship Id="rId381" Type="http://schemas.openxmlformats.org/officeDocument/2006/relationships/hyperlink" Target="https://gifphotoboothrentalorangecounty.blogspot.com/2026/03/hammer-museum-event-photography.html" TargetMode="External"/><Relationship Id="rId380" Type="http://schemas.openxmlformats.org/officeDocument/2006/relationships/hyperlink" Target="https://gifphotoboothrentalorangecounty.blogspot.com/2026/03/the-london-west-hollywood-photography.html" TargetMode="External"/><Relationship Id="rId139" Type="http://schemas.openxmlformats.org/officeDocument/2006/relationships/hyperlink" Target="https://docs.google.com/document/d/1MKc54RBVYXRZOu8W1gmeBcxcFkp23F8AjO12b79rQZM/edit?usp=sharing" TargetMode="External"/><Relationship Id="rId138" Type="http://schemas.openxmlformats.org/officeDocument/2006/relationships/hyperlink" Target="https://drive.google.com/file/d/1hlgZVFJ3V3V-ERCUaCNvJw98H_luDtzC/view?usp=sharing" TargetMode="External"/><Relationship Id="rId259" Type="http://schemas.openxmlformats.org/officeDocument/2006/relationships/hyperlink" Target="https://docs.google.com/document/d/12FkSPPVUQEEbjl_ILz9qtdrklsI3Va1J/edit?usp=sharing&amp;ouid=115602453726005426174&amp;rtpof=true&amp;sd=true" TargetMode="External"/><Relationship Id="rId137" Type="http://schemas.openxmlformats.org/officeDocument/2006/relationships/hyperlink" Target="https://docs.google.com/presentation/d/1Ye_ED7N05CdPK0k350ZRMGAI6igBsHcTb1VGH9XWJVI/htmlpresent" TargetMode="External"/><Relationship Id="rId258" Type="http://schemas.openxmlformats.org/officeDocument/2006/relationships/hyperlink" Target="https://docs.google.com/document/d/1OUxVghVBdUmA6HuvFTrlpkBGkMJaR3iW/edit?usp=sharing&amp;ouid=115602453726005426174&amp;rtpof=true&amp;sd=true" TargetMode="External"/><Relationship Id="rId379" Type="http://schemas.openxmlformats.org/officeDocument/2006/relationships/hyperlink" Target="https://gifphotoboothrentalorangecounty.blogspot.com/2026/03/greystone-mansion-photo-marketing.html" TargetMode="External"/><Relationship Id="rId132" Type="http://schemas.openxmlformats.org/officeDocument/2006/relationships/hyperlink" Target="https://docs.google.com/presentation/d/1qZcaaULQEbzhqUuo_TODrAjLLT1UXc9jvSUTgG-zmsQ/htmlpresent" TargetMode="External"/><Relationship Id="rId253" Type="http://schemas.openxmlformats.org/officeDocument/2006/relationships/hyperlink" Target="https://drive.google.com/file/d/1wdHX5ip_HOzv-vFRiTwLALBIYsNomKXM/view?usp=sharing" TargetMode="External"/><Relationship Id="rId374" Type="http://schemas.openxmlformats.org/officeDocument/2006/relationships/hyperlink" Target="https://gifphotoboothrentalorangecounty.blogspot.com/2026/03/the-beverly-hills-hotel-event-marketing.html" TargetMode="External"/><Relationship Id="rId495" Type="http://schemas.openxmlformats.org/officeDocument/2006/relationships/hyperlink" Target="https://partysnapsphotoboothoc.blogspot.com/2026/04/waldorf-astoria-beverly-hills-photo.html" TargetMode="External"/><Relationship Id="rId131" Type="http://schemas.openxmlformats.org/officeDocument/2006/relationships/hyperlink" Target="https://docs.google.com/presentation/d/1qZcaaULQEbzhqUuo_TODrAjLLT1UXc9jvSUTgG-zmsQ/view" TargetMode="External"/><Relationship Id="rId252" Type="http://schemas.openxmlformats.org/officeDocument/2006/relationships/hyperlink" Target="https://drive.google.com/file/d/1W66mzcD6j4rFGhy6zxXXqcs4Oztw3s4k/view?usp=sharing" TargetMode="External"/><Relationship Id="rId373" Type="http://schemas.openxmlformats.org/officeDocument/2006/relationships/hyperlink" Target="https://photoboothrentalhuntingtonbeach.blogspot.com/2026/03/private-estate-event-photography.html" TargetMode="External"/><Relationship Id="rId494" Type="http://schemas.openxmlformats.org/officeDocument/2006/relationships/hyperlink" Target="https://partysnapsphotoboothoc.blogspot.com/2026/04/the-beverly-hills-hotel-event-marketing.html" TargetMode="External"/><Relationship Id="rId130" Type="http://schemas.openxmlformats.org/officeDocument/2006/relationships/hyperlink" Target="https://docs.google.com/presentation/d/1qZcaaULQEbzhqUuo_TODrAjLLT1UXc9jvSUTgG-zmsQ/edit?usp=sharing" TargetMode="External"/><Relationship Id="rId251" Type="http://schemas.openxmlformats.org/officeDocument/2006/relationships/hyperlink" Target="https://drive.google.com/file/d/1ZT4YKrgfwR8clUMy0d1xFT6B4plOf67o/view?usp=sharing" TargetMode="External"/><Relationship Id="rId372" Type="http://schemas.openxmlformats.org/officeDocument/2006/relationships/hyperlink" Target="https://photoboothrentalhuntingtonbeach.blogspot.com/2026/03/premium-visual-brand-strategy.html" TargetMode="External"/><Relationship Id="rId493" Type="http://schemas.openxmlformats.org/officeDocument/2006/relationships/hyperlink" Target="https://glamfilterphotobooth.blogspot.com/2026/04/boutique-event-marketing-agency-la.html" TargetMode="External"/><Relationship Id="rId250" Type="http://schemas.openxmlformats.org/officeDocument/2006/relationships/hyperlink" Target="https://drive.google.com/file/d/1z30UDMqkzyGu0jrvm_KAWHzZgqqlkY-F/view?usp=sharing" TargetMode="External"/><Relationship Id="rId371" Type="http://schemas.openxmlformats.org/officeDocument/2006/relationships/hyperlink" Target="https://photoboothrentalhuntingtonbeach.blogspot.com/2026/03/boutique-event-marketing-agency-la.html" TargetMode="External"/><Relationship Id="rId492" Type="http://schemas.openxmlformats.org/officeDocument/2006/relationships/hyperlink" Target="https://glamfilterphotobooth.blogspot.com/2026/04/luxury-gala-photography-los-angeles.html" TargetMode="External"/><Relationship Id="rId136" Type="http://schemas.openxmlformats.org/officeDocument/2006/relationships/hyperlink" Target="https://docs.google.com/presentation/d/1Ye_ED7N05CdPK0k350ZRMGAI6igBsHcTb1VGH9XWJVI/view" TargetMode="External"/><Relationship Id="rId257" Type="http://schemas.openxmlformats.org/officeDocument/2006/relationships/hyperlink" Target="https://drive.google.com/file/d/1PFviw7AnijQpjWeoA5r96-esd_xMJYSP/view?usp=sharing" TargetMode="External"/><Relationship Id="rId378" Type="http://schemas.openxmlformats.org/officeDocument/2006/relationships/hyperlink" Target="https://gifphotoboothrentalorangecounty.blogspot.com/2026/03/soho-house-west-hollywood-marketing.html" TargetMode="External"/><Relationship Id="rId499" Type="http://schemas.openxmlformats.org/officeDocument/2006/relationships/hyperlink" Target="https://partysnapsphotoboothoc.blogspot.com/2026/04/the-revery-la-event-photography.html" TargetMode="External"/><Relationship Id="rId135" Type="http://schemas.openxmlformats.org/officeDocument/2006/relationships/hyperlink" Target="https://docs.google.com/presentation/d/1Ye_ED7N05CdPK0k350ZRMGAI6igBsHcTb1VGH9XWJVI/edit?usp=sharing" TargetMode="External"/><Relationship Id="rId256" Type="http://schemas.openxmlformats.org/officeDocument/2006/relationships/hyperlink" Target="https://drive.google.com/file/d/1BCeChWlfdk__QO2zc5tyuA1PvETOTnsU/view?usp=sharing" TargetMode="External"/><Relationship Id="rId377" Type="http://schemas.openxmlformats.org/officeDocument/2006/relationships/hyperlink" Target="https://gifphotoboothrentalorangecounty.blogspot.com/2026/03/chateau-marmont-event-photography.html" TargetMode="External"/><Relationship Id="rId498" Type="http://schemas.openxmlformats.org/officeDocument/2006/relationships/hyperlink" Target="https://partysnapsphotoboothoc.blogspot.com/2026/04/soho-house-west-hollywood-marketing.html" TargetMode="External"/><Relationship Id="rId134" Type="http://schemas.openxmlformats.org/officeDocument/2006/relationships/hyperlink" Target="https://docs.google.com/document/d/1isFS_XkuLo1qVb7sZndg_DX4GGjCZWwZN-B7RoQ8N9Y/view" TargetMode="External"/><Relationship Id="rId255" Type="http://schemas.openxmlformats.org/officeDocument/2006/relationships/hyperlink" Target="https://drive.google.com/file/d/1fgNb7RVZGTgggN72Z-VOSz4VmR2LOVm_/view?usp=sharing" TargetMode="External"/><Relationship Id="rId376" Type="http://schemas.openxmlformats.org/officeDocument/2006/relationships/hyperlink" Target="https://gifphotoboothrentalorangecounty.blogspot.com/2026/03/the-maybourne-beverly-hills-marketing.html" TargetMode="External"/><Relationship Id="rId497" Type="http://schemas.openxmlformats.org/officeDocument/2006/relationships/hyperlink" Target="https://partysnapsphotoboothoc.blogspot.com/2026/04/chateau-marmont-event-photography.html" TargetMode="External"/><Relationship Id="rId133" Type="http://schemas.openxmlformats.org/officeDocument/2006/relationships/hyperlink" Target="https://docs.google.com/document/d/1isFS_XkuLo1qVb7sZndg_DX4GGjCZWwZN-B7RoQ8N9Y/edit?usp=sharing" TargetMode="External"/><Relationship Id="rId254" Type="http://schemas.openxmlformats.org/officeDocument/2006/relationships/hyperlink" Target="https://drive.google.com/file/d/1QN9NjP5ra9ZY58pw_Z3Udl-n9xp2tv8_/view?usp=sharing" TargetMode="External"/><Relationship Id="rId375" Type="http://schemas.openxmlformats.org/officeDocument/2006/relationships/hyperlink" Target="https://gifphotoboothrentalorangecounty.blogspot.com/2026/03/waldorf-astoria-beverly-hills-photo.html" TargetMode="External"/><Relationship Id="rId496" Type="http://schemas.openxmlformats.org/officeDocument/2006/relationships/hyperlink" Target="https://partysnapsphotoboothoc.blogspot.com/2026/04/the-maybourne-beverly-hills-marketing.html" TargetMode="External"/><Relationship Id="rId172" Type="http://schemas.openxmlformats.org/officeDocument/2006/relationships/hyperlink" Target="https://docs.google.com/spreadsheets/d/1Wd8zhtmVTfnPrI4XUsmUOI7xBJxidrWZ/edit?usp=sharing&amp;ouid=115602453726005426174&amp;rtpof=true&amp;sd=true" TargetMode="External"/><Relationship Id="rId293" Type="http://schemas.openxmlformats.org/officeDocument/2006/relationships/hyperlink" Target="https://drive.google.com/file/d/1ABm9pVjSkf3gVWBsJ1e-puIFQ4hXe63V/view?usp=sharing" TargetMode="External"/><Relationship Id="rId171" Type="http://schemas.openxmlformats.org/officeDocument/2006/relationships/hyperlink" Target="https://drive.google.com/file/d/1UBcNejQ4pXuPJcqgB3vBniYL3rPQvbzl/view?usp=sharing" TargetMode="External"/><Relationship Id="rId292" Type="http://schemas.openxmlformats.org/officeDocument/2006/relationships/hyperlink" Target="https://drive.google.com/file/d/1Kb96bZm4DJTrBVJpIeJyIMQlU13Tg3Sx/view?usp=sharing" TargetMode="External"/><Relationship Id="rId170" Type="http://schemas.openxmlformats.org/officeDocument/2006/relationships/hyperlink" Target="https://drive.google.com/file/d/1mPeyuZMcEkUh7vG-UHihpYNiI6Ar2Wzr/view?usp=sharing" TargetMode="External"/><Relationship Id="rId291" Type="http://schemas.openxmlformats.org/officeDocument/2006/relationships/hyperlink" Target="https://drive.google.com/file/d/1HLb3KiUJ_doYfxrcFK7cu5GKa1FjoOU8/view?usp=sharing" TargetMode="External"/><Relationship Id="rId290" Type="http://schemas.openxmlformats.org/officeDocument/2006/relationships/hyperlink" Target="https://drive.google.com/file/d/1gxxWAUdUHdbzO0xisSxCC2KzMtcQuVFd/view?usp=sharing" TargetMode="External"/><Relationship Id="rId165" Type="http://schemas.openxmlformats.org/officeDocument/2006/relationships/hyperlink" Target="https://drive.google.com/file/d/1wxRPzA7JIAvnbPrqrSwjlMzluPnqrjvF/view?usp=sharing" TargetMode="External"/><Relationship Id="rId286" Type="http://schemas.openxmlformats.org/officeDocument/2006/relationships/hyperlink" Target="https://drive.google.com/file/d/1-Dj3G4h7XpO-MBPii77moCiJ8v05rb2q/view?usp=sharing" TargetMode="External"/><Relationship Id="rId164" Type="http://schemas.openxmlformats.org/officeDocument/2006/relationships/hyperlink" Target="https://drive.google.com/file/d/1PMgmLjZAd0IV_ydMzLWqbZWyrV0YVAg9/view?usp=sharing" TargetMode="External"/><Relationship Id="rId285" Type="http://schemas.openxmlformats.org/officeDocument/2006/relationships/hyperlink" Target="https://drive.google.com/file/d/1RtXoIqhaHyRDaQdom1xBkXNz3BGqHC9x/view?usp=sharing" TargetMode="External"/><Relationship Id="rId163" Type="http://schemas.openxmlformats.org/officeDocument/2006/relationships/hyperlink" Target="https://drive.google.com/file/d/1jGXv8EGcBIc6m3AAgFZhjM4iJOKY3Zqg/view?usp=sharing" TargetMode="External"/><Relationship Id="rId284" Type="http://schemas.openxmlformats.org/officeDocument/2006/relationships/hyperlink" Target="https://drive.google.com/file/d/12U-7D4-c6yOkHe6oacj7NOVcjByywNFX/view?usp=sharing" TargetMode="External"/><Relationship Id="rId162" Type="http://schemas.openxmlformats.org/officeDocument/2006/relationships/hyperlink" Target="https://drive.google.com/file/d/1P3GEZVvVOtK9QE_Lfq8X1v_RkgSwyPBJ/view?usp=sharing" TargetMode="External"/><Relationship Id="rId283" Type="http://schemas.openxmlformats.org/officeDocument/2006/relationships/hyperlink" Target="https://drive.google.com/file/d/1x3HcI_BnyEXFmAmXdLFNdIKEJcNaXAbT/view?usp=sharing" TargetMode="External"/><Relationship Id="rId169" Type="http://schemas.openxmlformats.org/officeDocument/2006/relationships/hyperlink" Target="https://drive.google.com/file/d/1oi2_F_e0Tfp6AGqBySNJVAYSsPJYEx3p/view?usp=sharing" TargetMode="External"/><Relationship Id="rId168" Type="http://schemas.openxmlformats.org/officeDocument/2006/relationships/hyperlink" Target="https://drive.google.com/file/d/1PZmYi3fbYE3LA1-d2Z4QdB24vAn4BO3q/view?usp=sharing" TargetMode="External"/><Relationship Id="rId289" Type="http://schemas.openxmlformats.org/officeDocument/2006/relationships/hyperlink" Target="https://drive.google.com/file/d/1JP-uKWYCLJwb6tsXQBDZOdj6sEd7RR-7/view?usp=sharing" TargetMode="External"/><Relationship Id="rId167" Type="http://schemas.openxmlformats.org/officeDocument/2006/relationships/hyperlink" Target="https://drive.google.com/file/d/1EpEI_iTdIupFbsF305u6sCJ6sCocHpID/view?usp=sharing" TargetMode="External"/><Relationship Id="rId288" Type="http://schemas.openxmlformats.org/officeDocument/2006/relationships/hyperlink" Target="https://drive.google.com/file/d/1S4iVIok6g_nzdlmrZ1QihQreAt6FRUCF/view?usp=sharing" TargetMode="External"/><Relationship Id="rId166" Type="http://schemas.openxmlformats.org/officeDocument/2006/relationships/hyperlink" Target="https://drive.google.com/file/d/1Utvb5caLXeS1BC-VWcpQIZhD0FSDsILz/view?usp=sharing" TargetMode="External"/><Relationship Id="rId287" Type="http://schemas.openxmlformats.org/officeDocument/2006/relationships/hyperlink" Target="https://drive.google.com/file/d/1j_IE4SJpGpqylHBN7f4PELm6HRwXwxkP/view?usp=sharing" TargetMode="External"/><Relationship Id="rId161" Type="http://schemas.openxmlformats.org/officeDocument/2006/relationships/hyperlink" Target="https://drive.google.com/file/d/1UFyDfdsN1b5wTc7xzzzUiZESVQcsHYzF/view?usp=sharing" TargetMode="External"/><Relationship Id="rId282" Type="http://schemas.openxmlformats.org/officeDocument/2006/relationships/hyperlink" Target="https://drive.google.com/file/d/1uR4mPRpfPjzYHmHMj7XgXBPxRTn4KJfP/view?usp=sharing" TargetMode="External"/><Relationship Id="rId160" Type="http://schemas.openxmlformats.org/officeDocument/2006/relationships/hyperlink" Target="https://drive.google.com/file/d/1zgdxJ9A2tpijIrJ-quekUWXWzJKBUwTZ/view?usp=sharing" TargetMode="External"/><Relationship Id="rId281" Type="http://schemas.openxmlformats.org/officeDocument/2006/relationships/hyperlink" Target="https://drive.google.com/file/d/12YYjAYYJ9q4_Zcllo8m6FnTQ0cRzxupv/view?usp=sharing" TargetMode="External"/><Relationship Id="rId280" Type="http://schemas.openxmlformats.org/officeDocument/2006/relationships/hyperlink" Target="https://drive.google.com/file/d/1ObzkkpA2x_4rK3QOBHI_yZK2AtnZtVIa/view?usp=sharing" TargetMode="External"/><Relationship Id="rId159" Type="http://schemas.openxmlformats.org/officeDocument/2006/relationships/hyperlink" Target="https://drive.google.com/file/d/1McmfSDd3in49MjjJNSsc-ieB4hNd5K24/view?usp=sharing" TargetMode="External"/><Relationship Id="rId154" Type="http://schemas.openxmlformats.org/officeDocument/2006/relationships/hyperlink" Target="https://drive.google.com/file/d/1BuI3yse4X25mwZu8IBaRxlJduqznU3In/view?usp=sharing" TargetMode="External"/><Relationship Id="rId275" Type="http://schemas.openxmlformats.org/officeDocument/2006/relationships/hyperlink" Target="https://docs.google.com/document/d/1mwqJhn8cqXem_7f5eQ11d2ZoIQV913iO/edit?usp=sharing&amp;ouid=115602453726005426174&amp;rtpof=true&amp;sd=true" TargetMode="External"/><Relationship Id="rId396" Type="http://schemas.openxmlformats.org/officeDocument/2006/relationships/hyperlink" Target="https://luckyfrogvideoboothoc.blogspot.com/2026/03/the-beverly-hills-hotel-event-marketing.html" TargetMode="External"/><Relationship Id="rId153" Type="http://schemas.openxmlformats.org/officeDocument/2006/relationships/hyperlink" Target="https://drive.google.com/file/d/1tJ5xXBvyMHLHfGoBXkWpZQ5BvKrFJ3Ls/view?usp=sharing" TargetMode="External"/><Relationship Id="rId274" Type="http://schemas.openxmlformats.org/officeDocument/2006/relationships/hyperlink" Target="https://docs.google.com/document/d/1F5RR4DrnZkNS_uP35pyjOypeE2XjFjrv/edit?usp=sharing&amp;ouid=115602453726005426174&amp;rtpof=true&amp;sd=true" TargetMode="External"/><Relationship Id="rId395" Type="http://schemas.openxmlformats.org/officeDocument/2006/relationships/hyperlink" Target="https://glamfilterphotobooth.blogspot.com/2026/03/high-net-worth-photography-services.html" TargetMode="External"/><Relationship Id="rId152" Type="http://schemas.openxmlformats.org/officeDocument/2006/relationships/hyperlink" Target="https://drive.google.com/file/d/1UPz6hru1gGcsayMKqBjsD5ReXlmF1YzR/view?usp=sharing" TargetMode="External"/><Relationship Id="rId273" Type="http://schemas.openxmlformats.org/officeDocument/2006/relationships/hyperlink" Target="https://docs.google.com/document/d/19zkj5H2Y0UeX5Wwx2ug7x6CF1W1U5HgZ/edit?usp=sharing&amp;ouid=115602453726005426174&amp;rtpof=true&amp;sd=true" TargetMode="External"/><Relationship Id="rId394" Type="http://schemas.openxmlformats.org/officeDocument/2006/relationships/hyperlink" Target="https://glamfilterphotobooth.blogspot.com/2026/03/hotel-per-la-event-marketing.html" TargetMode="External"/><Relationship Id="rId151" Type="http://schemas.openxmlformats.org/officeDocument/2006/relationships/hyperlink" Target="https://drive.google.com/file/d/1BBSXXhq8Qw8NWfR--eVuEr7GMLsUyV0g/view?usp=sharing" TargetMode="External"/><Relationship Id="rId272" Type="http://schemas.openxmlformats.org/officeDocument/2006/relationships/hyperlink" Target="https://docs.google.com/document/d/1_62b0BrnEOFcTp71TPdu0U47UziH0VS0/edit?usp=sharing&amp;ouid=115602453726005426174&amp;rtpof=true&amp;sd=true" TargetMode="External"/><Relationship Id="rId393" Type="http://schemas.openxmlformats.org/officeDocument/2006/relationships/hyperlink" Target="https://glamfilterphotobooth.blogspot.com/2026/03/lombardi-house-marketing-photography.html" TargetMode="External"/><Relationship Id="rId158" Type="http://schemas.openxmlformats.org/officeDocument/2006/relationships/hyperlink" Target="https://drive.google.com/file/d/1C4vlp3MpcvJpmkhXTQlElYX-I_lIppA0/view?usp=sharing" TargetMode="External"/><Relationship Id="rId279" Type="http://schemas.openxmlformats.org/officeDocument/2006/relationships/hyperlink" Target="https://drive.google.com/file/d/10K44FNT2E6mqLjLBsmQFcZpXUQavny60/view?usp=sharing" TargetMode="External"/><Relationship Id="rId157" Type="http://schemas.openxmlformats.org/officeDocument/2006/relationships/hyperlink" Target="https://drive.google.com/file/d/1TfFuymZbrB0ezawRClzdx7rG3QyYmz4Q/view?usp=sharing" TargetMode="External"/><Relationship Id="rId278" Type="http://schemas.openxmlformats.org/officeDocument/2006/relationships/hyperlink" Target="https://docs.google.com/document/d/1tXlnzSzCILkgfudvHFyL2jz9A32FPQLX/edit?usp=sharing&amp;ouid=115602453726005426174&amp;rtpof=true&amp;sd=true" TargetMode="External"/><Relationship Id="rId399" Type="http://schemas.openxmlformats.org/officeDocument/2006/relationships/hyperlink" Target="https://luckyfrogvideoboothoc.blogspot.com/2026/03/chateau-marmont-event-photography.html" TargetMode="External"/><Relationship Id="rId156" Type="http://schemas.openxmlformats.org/officeDocument/2006/relationships/hyperlink" Target="https://drive.google.com/file/d/1lT36zOT-SnzNcf3qhqFEqnvyW9CKse2p/view?usp=sharing" TargetMode="External"/><Relationship Id="rId277" Type="http://schemas.openxmlformats.org/officeDocument/2006/relationships/hyperlink" Target="https://docs.google.com/document/d/1mGcax8NpmEOQQ4RqcE5hWpUhMVZFv-e-/edit?usp=sharing&amp;ouid=115602453726005426174&amp;rtpof=true&amp;sd=true" TargetMode="External"/><Relationship Id="rId398" Type="http://schemas.openxmlformats.org/officeDocument/2006/relationships/hyperlink" Target="https://luckyfrogvideoboothoc.blogspot.com/2026/03/the-maybourne-beverly-hills-marketing.html" TargetMode="External"/><Relationship Id="rId155" Type="http://schemas.openxmlformats.org/officeDocument/2006/relationships/hyperlink" Target="https://drive.google.com/file/d/12tFOb0UUWVkHnGh4jZ99nR8vK51SZFWX/view?usp=sharing" TargetMode="External"/><Relationship Id="rId276" Type="http://schemas.openxmlformats.org/officeDocument/2006/relationships/hyperlink" Target="https://docs.google.com/document/d/13KxAhmzBchx184FU5v3VRovdzEdsl4_f/edit?usp=sharing&amp;ouid=115602453726005426174&amp;rtpof=true&amp;sd=true" TargetMode="External"/><Relationship Id="rId397" Type="http://schemas.openxmlformats.org/officeDocument/2006/relationships/hyperlink" Target="https://luckyfrogvideoboothoc.blogspot.com/2026/03/waldorf-astoria-beverly-hills-photo.html" TargetMode="External"/><Relationship Id="rId40" Type="http://schemas.openxmlformats.org/officeDocument/2006/relationships/hyperlink" Target="https://docs.google.com/spreadsheets/d/1FR8mAHuzSpYw2w8x9c_-Om4hSJtsUgK2gmHDXtFQ_-8/edit" TargetMode="External"/><Relationship Id="rId42" Type="http://schemas.openxmlformats.org/officeDocument/2006/relationships/hyperlink" Target="https://drive.google.com/file/d/1X_veMGreiwUGnXFkDv4OwAkCHxQy9faq/view?usp=sharing" TargetMode="External"/><Relationship Id="rId41" Type="http://schemas.openxmlformats.org/officeDocument/2006/relationships/hyperlink" Target="https://drive.google.com/drive/folders/1ZhAfZq83RHNjhk-uPAXl20T9Sq2mt6Hg?usp=sharing" TargetMode="External"/><Relationship Id="rId44" Type="http://schemas.openxmlformats.org/officeDocument/2006/relationships/hyperlink" Target="https://docs.google.com/document/d/1JdOqL617yy-da-wo9--A6OhNMYfe3hp0eSTk_Ixp_U0/edit?usp=sharing" TargetMode="External"/><Relationship Id="rId43" Type="http://schemas.openxmlformats.org/officeDocument/2006/relationships/hyperlink" Target="https://drive.google.com/file/d/1qDRezGc6S-GXO1Ums-z58A4tZj8QfUxZ/view?usp=sharing" TargetMode="External"/><Relationship Id="rId46" Type="http://schemas.openxmlformats.org/officeDocument/2006/relationships/hyperlink" Target="https://docs.google.com/presentation/d/13uX01hscBeRAKz_M9FRIOV1jYCHCcmdb8O2J7lJFTbM/edit?usp=sharing" TargetMode="External"/><Relationship Id="rId45" Type="http://schemas.openxmlformats.org/officeDocument/2006/relationships/hyperlink" Target="https://docs.google.com/document/d/1JdOqL617yy-da-wo9--A6OhNMYfe3hp0eSTk_Ixp_U0/view" TargetMode="External"/><Relationship Id="rId509" Type="http://schemas.openxmlformats.org/officeDocument/2006/relationships/hyperlink" Target="https://photoboothrentalorangecountyevent.blogspot.com/2026/04/vibiana-los-angeles-photo-marketing.html" TargetMode="External"/><Relationship Id="rId508" Type="http://schemas.openxmlformats.org/officeDocument/2006/relationships/hyperlink" Target="https://photoboothrentalorangecountyevent.blogspot.com/2026/04/soho-house-west-hollywood-marketing.html" TargetMode="External"/><Relationship Id="rId503" Type="http://schemas.openxmlformats.org/officeDocument/2006/relationships/hyperlink" Target="https://partysnapsphotoboothoc.blogspot.com/2026/04/high-net-worth-photography-services.html" TargetMode="External"/><Relationship Id="rId502" Type="http://schemas.openxmlformats.org/officeDocument/2006/relationships/hyperlink" Target="https://partysnapsphotoboothoc.blogspot.com/2026/04/hotel-per-la-event-marketing.html" TargetMode="External"/><Relationship Id="rId501" Type="http://schemas.openxmlformats.org/officeDocument/2006/relationships/hyperlink" Target="https://partysnapsphotoboothoc.blogspot.com/2026/04/lombardi-house-marketing-photography.html" TargetMode="External"/><Relationship Id="rId500" Type="http://schemas.openxmlformats.org/officeDocument/2006/relationships/hyperlink" Target="https://partysnapsphotoboothoc.blogspot.com/2026/04/pelican-hill-luxury-brand-photo.html" TargetMode="External"/><Relationship Id="rId507" Type="http://schemas.openxmlformats.org/officeDocument/2006/relationships/hyperlink" Target="https://photoboothrentalorangecountyevent.blogspot.com/2026/04/chateau-marmont-event-photography.html" TargetMode="External"/><Relationship Id="rId506" Type="http://schemas.openxmlformats.org/officeDocument/2006/relationships/hyperlink" Target="https://photoboothrentalorangecountyevent.blogspot.com/2026/04/the-maybourne-beverly-hills-marketing.html" TargetMode="External"/><Relationship Id="rId505" Type="http://schemas.openxmlformats.org/officeDocument/2006/relationships/hyperlink" Target="https://photoboothrentalorangecountyevent.blogspot.com/2026/04/waldorf-astoria-beverly-hills-photo.html" TargetMode="External"/><Relationship Id="rId504" Type="http://schemas.openxmlformats.org/officeDocument/2006/relationships/hyperlink" Target="https://photoboothrentalorangecountyevent.blogspot.com/2026/04/the-beverly-hills-hotel-event-marketing.html" TargetMode="External"/><Relationship Id="rId48" Type="http://schemas.openxmlformats.org/officeDocument/2006/relationships/hyperlink" Target="https://docs.google.com/presentation/d/13uX01hscBeRAKz_M9FRIOV1jYCHCcmdb8O2J7lJFTbM/htmlpresent" TargetMode="External"/><Relationship Id="rId47" Type="http://schemas.openxmlformats.org/officeDocument/2006/relationships/hyperlink" Target="https://docs.google.com/presentation/d/13uX01hscBeRAKz_M9FRIOV1jYCHCcmdb8O2J7lJFTbM/view" TargetMode="External"/><Relationship Id="rId49" Type="http://schemas.openxmlformats.org/officeDocument/2006/relationships/hyperlink" Target="https://docs.google.com/document/d/1yq_PUXv1CeAHZI565Pes6hkmQnG9xBghEszU60_moKM/edit?usp=sharing" TargetMode="External"/><Relationship Id="rId31" Type="http://schemas.openxmlformats.org/officeDocument/2006/relationships/hyperlink" Target="https://www.google.com/calendar/event?eid=NWdzMGo0ZG5haTE3bXUwcTh0bG1oYnNqZGsgNDI1YmNhMmMzOWMwZjgxYjgzZGI3MmEwMzMwYzY3MmM3ZDNlYmFkYTljOTg4MGJjNzUyNmI2NjQzMTdmNDY1N0Bncm91cC5jYWxlbmRhci5nb29nbGUuY29t" TargetMode="External"/><Relationship Id="rId30" Type="http://schemas.openxmlformats.org/officeDocument/2006/relationships/hyperlink" Target="https://www.google.com/calendar/event?eid=Y3BvNzJsMWcwODdiMTI4YTBtamI2ajcxZWsgNDI1YmNhMmMzOWMwZjgxYjgzZGI3MmEwMzMwYzY3MmM3ZDNlYmFkYTljOTg4MGJjNzUyNmI2NjQzMTdmNDY1N0Bncm91cC5jYWxlbmRhci5nb29nbGUuY29t" TargetMode="External"/><Relationship Id="rId33" Type="http://schemas.openxmlformats.org/officeDocument/2006/relationships/hyperlink" Target="https://www.google.com/calendar/event?eid=YzdvMDl0MnNuMG1yZWtvYzR0cHBmbGdoaWMgNDI1YmNhMmMzOWMwZjgxYjgzZGI3MmEwMzMwYzY3MmM3ZDNlYmFkYTljOTg4MGJjNzUyNmI2NjQzMTdmNDY1N0Bncm91cC5jYWxlbmRhci5nb29nbGUuY29t" TargetMode="External"/><Relationship Id="rId32" Type="http://schemas.openxmlformats.org/officeDocument/2006/relationships/hyperlink" Target="https://www.google.com/calendar/event?eid=YnUyZDk2OG1xdmYwYTJpNjVsN25wMWozdmsgNDI1YmNhMmMzOWMwZjgxYjgzZGI3MmEwMzMwYzY3MmM3ZDNlYmFkYTljOTg4MGJjNzUyNmI2NjQzMTdmNDY1N0Bncm91cC5jYWxlbmRhci5nb29nbGUuY29t" TargetMode="External"/><Relationship Id="rId35" Type="http://schemas.openxmlformats.org/officeDocument/2006/relationships/hyperlink" Target="https://www.google.com/calendar/event?eid=bnBhODdsMG01bXVzM3BhN2c0YTcwNnBlYWcgNDI1YmNhMmMzOWMwZjgxYjgzZGI3MmEwMzMwYzY3MmM3ZDNlYmFkYTljOTg4MGJjNzUyNmI2NjQzMTdmNDY1N0Bncm91cC5jYWxlbmRhci5nb29nbGUuY29t" TargetMode="External"/><Relationship Id="rId34" Type="http://schemas.openxmlformats.org/officeDocument/2006/relationships/hyperlink" Target="https://www.google.com/calendar/event?eid=cnI5Ym1idXFyZmMxdGR0MWRsMzZrbWttZmsgNDI1YmNhMmMzOWMwZjgxYjgzZGI3MmEwMzMwYzY3MmM3ZDNlYmFkYTljOTg4MGJjNzUyNmI2NjQzMTdmNDY1N0Bncm91cC5jYWxlbmRhci5nb29nbGUuY29t" TargetMode="External"/><Relationship Id="rId37" Type="http://schemas.openxmlformats.org/officeDocument/2006/relationships/hyperlink" Target="https://docs.google.com/spreadsheets/d/1FR8mAHuzSpYw2w8x9c_-Om4hSJtsUgK2gmHDXtFQ_-8/edit" TargetMode="External"/><Relationship Id="rId36" Type="http://schemas.openxmlformats.org/officeDocument/2006/relationships/hyperlink" Target="https://docs.google.com/spreadsheets/d/1FR8mAHuzSpYw2w8x9c_-Om4hSJtsUgK2gmHDXtFQ_-8/edit" TargetMode="External"/><Relationship Id="rId39" Type="http://schemas.openxmlformats.org/officeDocument/2006/relationships/hyperlink" Target="https://docs.google.com/spreadsheets/d/1FR8mAHuzSpYw2w8x9c_-Om4hSJtsUgK2gmHDXtFQ_-8/edit" TargetMode="External"/><Relationship Id="rId38" Type="http://schemas.openxmlformats.org/officeDocument/2006/relationships/hyperlink" Target="https://docs.google.com/spreadsheets/d/1FR8mAHuzSpYw2w8x9c_-Om4hSJtsUgK2gmHDXtFQ_-8/edit" TargetMode="External"/><Relationship Id="rId20" Type="http://schemas.openxmlformats.org/officeDocument/2006/relationships/hyperlink" Target="https://docs.google.com/presentation/d/1zixMLgT_-DAbZt4TV9PHXbBP9yJz2QvuiQBroElOLPU/view" TargetMode="External"/><Relationship Id="rId22" Type="http://schemas.openxmlformats.org/officeDocument/2006/relationships/hyperlink" Target="https://calendar.google.com/calendar/embed?src=425bca2c39c0f81b83db72a0330c672c7d3ebada9c9880bc7526b664317f4657@group.calendar.google.com" TargetMode="External"/><Relationship Id="rId21" Type="http://schemas.openxmlformats.org/officeDocument/2006/relationships/hyperlink" Target="https://docs.google.com/presentation/d/1zixMLgT_-DAbZt4TV9PHXbBP9yJz2QvuiQBroElOLPU/htmlpresent" TargetMode="External"/><Relationship Id="rId24" Type="http://schemas.openxmlformats.org/officeDocument/2006/relationships/hyperlink" Target="https://www.google.com/calendar/event?eid=dnBqc2JibHVsNDdlb3NrMXExcXA4M3IyNzQgNDI1YmNhMmMzOWMwZjgxYjgzZGI3MmEwMzMwYzY3MmM3ZDNlYmFkYTljOTg4MGJjNzUyNmI2NjQzMTdmNDY1N0Bncm91cC5jYWxlbmRhci5nb29nbGUuY29t" TargetMode="External"/><Relationship Id="rId23" Type="http://schemas.openxmlformats.org/officeDocument/2006/relationships/hyperlink" Target="https://www.google.com/calendar/event?eid=cHRtZGE5cjg2bHBxZjM3anIwcDdrNTRnNmsgNDI1YmNhMmMzOWMwZjgxYjgzZGI3MmEwMzMwYzY3MmM3ZDNlYmFkYTljOTg4MGJjNzUyNmI2NjQzMTdmNDY1N0Bncm91cC5jYWxlbmRhci5nb29nbGUuY29t" TargetMode="External"/><Relationship Id="rId409" Type="http://schemas.openxmlformats.org/officeDocument/2006/relationships/hyperlink" Target="https://partysnapsphotoboothoc.blogspot.com/2026/03/the-maybourne-beverly-hills-marketing.html" TargetMode="External"/><Relationship Id="rId404" Type="http://schemas.openxmlformats.org/officeDocument/2006/relationships/hyperlink" Target="https://luckyfrogvideoboothoc.blogspot.com/2026/03/the-revery-la-event-photography.html" TargetMode="External"/><Relationship Id="rId525" Type="http://schemas.openxmlformats.org/officeDocument/2006/relationships/hyperlink" Target="https://photoboothrentalfullerton.blogspot.com/2026/04/private-estate-event-photography.html" TargetMode="External"/><Relationship Id="rId403" Type="http://schemas.openxmlformats.org/officeDocument/2006/relationships/hyperlink" Target="https://luckyfrogvideoboothoc.blogspot.com/2026/03/vibiana-los-angeles-photo-marketing.html" TargetMode="External"/><Relationship Id="rId524" Type="http://schemas.openxmlformats.org/officeDocument/2006/relationships/hyperlink" Target="https://photoboothrentalfullerton.blogspot.com/2026/04/premium-visual-brand-strategy.html" TargetMode="External"/><Relationship Id="rId402" Type="http://schemas.openxmlformats.org/officeDocument/2006/relationships/hyperlink" Target="https://luckyfrogvideoboothoc.blogspot.com/2026/03/skirball-cultural-center-marketing.html" TargetMode="External"/><Relationship Id="rId523" Type="http://schemas.openxmlformats.org/officeDocument/2006/relationships/hyperlink" Target="https://photoboothrentalfullerton.blogspot.com/2026/04/boutique-event-marketing-agency-la.html" TargetMode="External"/><Relationship Id="rId401" Type="http://schemas.openxmlformats.org/officeDocument/2006/relationships/hyperlink" Target="https://luckyfrogvideoboothoc.blogspot.com/2026/03/hammer-museum-event-photography.html" TargetMode="External"/><Relationship Id="rId522" Type="http://schemas.openxmlformats.org/officeDocument/2006/relationships/hyperlink" Target="https://photoboothrentalfullerton.blogspot.com/2026/04/the-london-west-hollywood-photography.html" TargetMode="External"/><Relationship Id="rId408" Type="http://schemas.openxmlformats.org/officeDocument/2006/relationships/hyperlink" Target="https://partysnapsphotoboothoc.blogspot.com/2026/03/waldorf-astoria-beverly-hills-photo.html" TargetMode="External"/><Relationship Id="rId529" Type="http://schemas.openxmlformats.org/officeDocument/2006/relationships/hyperlink" Target="https://photoboothrentalincarson.blogspot.com/2026/04/soho-house-west-hollywood-marketing.html" TargetMode="External"/><Relationship Id="rId407" Type="http://schemas.openxmlformats.org/officeDocument/2006/relationships/hyperlink" Target="https://partysnapsphotoboothoc.blogspot.com/2026/03/the-beverly-hills-hotel-event-marketing.html" TargetMode="External"/><Relationship Id="rId528" Type="http://schemas.openxmlformats.org/officeDocument/2006/relationships/hyperlink" Target="https://photoboothrentalincarson.blogspot.com/2026/04/chateau-marmont-event-photography.html" TargetMode="External"/><Relationship Id="rId406" Type="http://schemas.openxmlformats.org/officeDocument/2006/relationships/hyperlink" Target="https://luckyfrogvideoboothoc.blogspot.com/2026/03/ultra-luxury-brand-activation-la.html" TargetMode="External"/><Relationship Id="rId527" Type="http://schemas.openxmlformats.org/officeDocument/2006/relationships/hyperlink" Target="https://photoboothrentalfullerton.blogspot.com/2026/04/ultra-luxury-brand-activation-la.html" TargetMode="External"/><Relationship Id="rId405" Type="http://schemas.openxmlformats.org/officeDocument/2006/relationships/hyperlink" Target="https://luckyfrogvideoboothoc.blogspot.com/2026/03/pelican-hill-luxury-brand-photo.html" TargetMode="External"/><Relationship Id="rId526" Type="http://schemas.openxmlformats.org/officeDocument/2006/relationships/hyperlink" Target="https://photoboothrentalfullerton.blogspot.com/2026/04/elite-corporate-event-marketing.html" TargetMode="External"/><Relationship Id="rId26" Type="http://schemas.openxmlformats.org/officeDocument/2006/relationships/hyperlink" Target="https://www.google.com/calendar/event?eid=ZWpsMDdranNmNzgzMGk1ZTBzb3BocmRrMzggNDI1YmNhMmMzOWMwZjgxYjgzZGI3MmEwMzMwYzY3MmM3ZDNlYmFkYTljOTg4MGJjNzUyNmI2NjQzMTdmNDY1N0Bncm91cC5jYWxlbmRhci5nb29nbGUuY29t" TargetMode="External"/><Relationship Id="rId25" Type="http://schemas.openxmlformats.org/officeDocument/2006/relationships/hyperlink" Target="https://www.google.com/calendar/event?eid=YzhicWc3bmRuNThqdnA3YjJjN3RxcGtoNmcgNDI1YmNhMmMzOWMwZjgxYjgzZGI3MmEwMzMwYzY3MmM3ZDNlYmFkYTljOTg4MGJjNzUyNmI2NjQzMTdmNDY1N0Bncm91cC5jYWxlbmRhci5nb29nbGUuY29t" TargetMode="External"/><Relationship Id="rId28" Type="http://schemas.openxmlformats.org/officeDocument/2006/relationships/hyperlink" Target="https://www.google.com/calendar/event?eid=YzhvcW4zdDBncThlOTlkdnVhYmpsYm9pZmcgNDI1YmNhMmMzOWMwZjgxYjgzZGI3MmEwMzMwYzY3MmM3ZDNlYmFkYTljOTg4MGJjNzUyNmI2NjQzMTdmNDY1N0Bncm91cC5jYWxlbmRhci5nb29nbGUuY29t" TargetMode="External"/><Relationship Id="rId27" Type="http://schemas.openxmlformats.org/officeDocument/2006/relationships/hyperlink" Target="https://www.google.com/calendar/event?eid=c3IzaDMzNjk1Z2wxNWI2cms3YnFybHI3bDggNDI1YmNhMmMzOWMwZjgxYjgzZGI3MmEwMzMwYzY3MmM3ZDNlYmFkYTljOTg4MGJjNzUyNmI2NjQzMTdmNDY1N0Bncm91cC5jYWxlbmRhci5nb29nbGUuY29t" TargetMode="External"/><Relationship Id="rId400" Type="http://schemas.openxmlformats.org/officeDocument/2006/relationships/hyperlink" Target="https://luckyfrogvideoboothoc.blogspot.com/2026/03/soho-house-west-hollywood-marketing.html" TargetMode="External"/><Relationship Id="rId521" Type="http://schemas.openxmlformats.org/officeDocument/2006/relationships/hyperlink" Target="https://photoboothrentalfullerton.blogspot.com/2026/04/greystone-mansion-photo-marketing.html" TargetMode="External"/><Relationship Id="rId29" Type="http://schemas.openxmlformats.org/officeDocument/2006/relationships/hyperlink" Target="https://www.google.com/calendar/event?eid=ZjFrb2plaTJsODY0MXVnNmZhMmwwbWNwMjAgNDI1YmNhMmMzOWMwZjgxYjgzZGI3MmEwMzMwYzY3MmM3ZDNlYmFkYTljOTg4MGJjNzUyNmI2NjQzMTdmNDY1N0Bncm91cC5jYWxlbmRhci5nb29nbGUuY29t" TargetMode="External"/><Relationship Id="rId520" Type="http://schemas.openxmlformats.org/officeDocument/2006/relationships/hyperlink" Target="https://photoboothrentalfullerton.blogspot.com/2026/04/soho-house-west-hollywood-marketing.html" TargetMode="External"/><Relationship Id="rId11" Type="http://schemas.openxmlformats.org/officeDocument/2006/relationships/hyperlink" Target="https://drive.google.com/file/d/1vOOZNTuVelT3hJknH2TwT7pDxoq-_vxT/view?usp=sharing" TargetMode="External"/><Relationship Id="rId10" Type="http://schemas.openxmlformats.org/officeDocument/2006/relationships/hyperlink" Target="https://drive.google.com/drive/folders/1F--GHqxMcoyF3C4q2T5cpnZVK27cTzk5?usp=sharing" TargetMode="External"/><Relationship Id="rId13" Type="http://schemas.openxmlformats.org/officeDocument/2006/relationships/hyperlink" Target="https://docs.google.com/spreadsheets/d/1FR8mAHuzSpYw2w8x9c_-Om4hSJtsUgK2gmHDXtFQ_-8/edit?usp=sharing" TargetMode="External"/><Relationship Id="rId12" Type="http://schemas.openxmlformats.org/officeDocument/2006/relationships/hyperlink" Target="https://drive.google.com/file/d/1vlBfbcfKonCpshhPIaw04sNOKvV3Bjni/view?usp=sharing" TargetMode="External"/><Relationship Id="rId519" Type="http://schemas.openxmlformats.org/officeDocument/2006/relationships/hyperlink" Target="https://photoboothrentalfullerton.blogspot.com/2026/04/chateau-marmont-event-photography.html" TargetMode="External"/><Relationship Id="rId514" Type="http://schemas.openxmlformats.org/officeDocument/2006/relationships/hyperlink" Target="https://photoboothrentalorangecountyevent.blogspot.com/2026/04/private-estate-event-photography.html" TargetMode="External"/><Relationship Id="rId513" Type="http://schemas.openxmlformats.org/officeDocument/2006/relationships/hyperlink" Target="https://photoboothrentalorangecountyevent.blogspot.com/2026/04/premium-visual-brand-strategy.html" TargetMode="External"/><Relationship Id="rId512" Type="http://schemas.openxmlformats.org/officeDocument/2006/relationships/hyperlink" Target="https://photoboothrentalorangecountyevent.blogspot.com/2026/04/hotel-per-la-event-marketing.html" TargetMode="External"/><Relationship Id="rId511" Type="http://schemas.openxmlformats.org/officeDocument/2006/relationships/hyperlink" Target="https://photoboothrentalorangecountyevent.blogspot.com/2026/04/lombardi-house-marketing-photography.html" TargetMode="External"/><Relationship Id="rId518" Type="http://schemas.openxmlformats.org/officeDocument/2006/relationships/hyperlink" Target="https://photoboothrentalfullerton.blogspot.com/2026/04/the-maybourne-beverly-hills-marketing.html" TargetMode="External"/><Relationship Id="rId517" Type="http://schemas.openxmlformats.org/officeDocument/2006/relationships/hyperlink" Target="https://photoboothrentalfullerton.blogspot.com/2026/04/the-beverly-hills-hotel-event-marketing.html" TargetMode="External"/><Relationship Id="rId516" Type="http://schemas.openxmlformats.org/officeDocument/2006/relationships/hyperlink" Target="https://photoboothrentalorangecountyevent.blogspot.com/2026/04/ultra-luxury-brand-activation-la.html" TargetMode="External"/><Relationship Id="rId515" Type="http://schemas.openxmlformats.org/officeDocument/2006/relationships/hyperlink" Target="https://photoboothrentalorangecountyevent.blogspot.com/2026/04/elite-corporate-event-marketing.html" TargetMode="External"/><Relationship Id="rId15" Type="http://schemas.openxmlformats.org/officeDocument/2006/relationships/hyperlink" Target="https://docs.google.com/forms/d/1rxIWZTdIK8bvqre67AQNp7JtaxAL57OaIj0OK4DPRjA/edit?usp=sharing" TargetMode="External"/><Relationship Id="rId14" Type="http://schemas.openxmlformats.org/officeDocument/2006/relationships/hyperlink" Target="https://docs.google.com/spreadsheets/d/1FR8mAHuzSpYw2w8x9c_-Om4hSJtsUgK2gmHDXtFQ_-8/view" TargetMode="External"/><Relationship Id="rId17" Type="http://schemas.openxmlformats.org/officeDocument/2006/relationships/hyperlink" Target="https://docs.google.com/document/d/11YtELvbTGA-SUK76Wh8rLArWYylNL2auxNbYsCAt5l0/edit?usp=sharing" TargetMode="External"/><Relationship Id="rId16" Type="http://schemas.openxmlformats.org/officeDocument/2006/relationships/hyperlink" Target="https://docs.google.com/drawings/d/1nStXElJT6kGPgdrpgFbRgqnQP_337lftwZ-c4ZeP_t4/edit?usp=sharing" TargetMode="External"/><Relationship Id="rId19" Type="http://schemas.openxmlformats.org/officeDocument/2006/relationships/hyperlink" Target="https://docs.google.com/presentation/d/1zixMLgT_-DAbZt4TV9PHXbBP9yJz2QvuiQBroElOLPU/edit?usp=sharing" TargetMode="External"/><Relationship Id="rId510" Type="http://schemas.openxmlformats.org/officeDocument/2006/relationships/hyperlink" Target="https://photoboothrentalorangecountyevent.blogspot.com/2026/04/pelican-hill-luxury-brand-photo.html" TargetMode="External"/><Relationship Id="rId18" Type="http://schemas.openxmlformats.org/officeDocument/2006/relationships/hyperlink" Target="https://docs.google.com/document/d/11YtELvbTGA-SUK76Wh8rLArWYylNL2auxNbYsCAt5l0/view" TargetMode="External"/><Relationship Id="rId84" Type="http://schemas.openxmlformats.org/officeDocument/2006/relationships/hyperlink" Target="https://docs.google.com/presentation/d/19d-jXD1uspn-XCwdW_0OwUQEtQdZ0EJexeEWfoy9-SI/htmlpresent" TargetMode="External"/><Relationship Id="rId83" Type="http://schemas.openxmlformats.org/officeDocument/2006/relationships/hyperlink" Target="https://docs.google.com/presentation/d/19d-jXD1uspn-XCwdW_0OwUQEtQdZ0EJexeEWfoy9-SI/view" TargetMode="External"/><Relationship Id="rId86" Type="http://schemas.openxmlformats.org/officeDocument/2006/relationships/hyperlink" Target="https://docs.google.com/document/d/1jaU6iRX4KREwD6hTLKH4ghdHOxuU-lrIWz-j-aGc_BA/view" TargetMode="External"/><Relationship Id="rId85" Type="http://schemas.openxmlformats.org/officeDocument/2006/relationships/hyperlink" Target="https://docs.google.com/document/d/1jaU6iRX4KREwD6hTLKH4ghdHOxuU-lrIWz-j-aGc_BA/edit?usp=sharing" TargetMode="External"/><Relationship Id="rId88" Type="http://schemas.openxmlformats.org/officeDocument/2006/relationships/hyperlink" Target="https://docs.google.com/presentation/d/1RefbJObYeu5p-9eCUaUKGEq1qXT87cpOeznA-BKwYE4/view" TargetMode="External"/><Relationship Id="rId87" Type="http://schemas.openxmlformats.org/officeDocument/2006/relationships/hyperlink" Target="https://docs.google.com/presentation/d/1RefbJObYeu5p-9eCUaUKGEq1qXT87cpOeznA-BKwYE4/edit?usp=sharing" TargetMode="External"/><Relationship Id="rId89" Type="http://schemas.openxmlformats.org/officeDocument/2006/relationships/hyperlink" Target="https://docs.google.com/presentation/d/1RefbJObYeu5p-9eCUaUKGEq1qXT87cpOeznA-BKwYE4/htmlpresent" TargetMode="External"/><Relationship Id="rId80" Type="http://schemas.openxmlformats.org/officeDocument/2006/relationships/hyperlink" Target="https://docs.google.com/document/d/1ywMBRVEdxOV-F7DU3PmOy6EzjHxOHCPAOl4FAGTaZzs/edit?usp=sharing" TargetMode="External"/><Relationship Id="rId82" Type="http://schemas.openxmlformats.org/officeDocument/2006/relationships/hyperlink" Target="https://docs.google.com/presentation/d/19d-jXD1uspn-XCwdW_0OwUQEtQdZ0EJexeEWfoy9-SI/edit?usp=sharing" TargetMode="External"/><Relationship Id="rId81" Type="http://schemas.openxmlformats.org/officeDocument/2006/relationships/hyperlink" Target="https://docs.google.com/document/d/1ywMBRVEdxOV-F7DU3PmOy6EzjHxOHCPAOl4FAGTaZzs/view" TargetMode="External"/><Relationship Id="rId73" Type="http://schemas.openxmlformats.org/officeDocument/2006/relationships/hyperlink" Target="https://docs.google.com/presentation/d/1NvN5r0KhpKCFHWpdSRz2U0TPdhBhAdd0YeeuQOBPC-Y/view" TargetMode="External"/><Relationship Id="rId72" Type="http://schemas.openxmlformats.org/officeDocument/2006/relationships/hyperlink" Target="https://docs.google.com/presentation/d/1NvN5r0KhpKCFHWpdSRz2U0TPdhBhAdd0YeeuQOBPC-Y/edit?usp=sharing" TargetMode="External"/><Relationship Id="rId75" Type="http://schemas.openxmlformats.org/officeDocument/2006/relationships/hyperlink" Target="https://docs.google.com/document/d/17Kw8mIRmiXWZ4KES51sF4Gt26MpWE54ofJ5LlW-bOA4/edit?usp=sharing" TargetMode="External"/><Relationship Id="rId74" Type="http://schemas.openxmlformats.org/officeDocument/2006/relationships/hyperlink" Target="https://docs.google.com/presentation/d/1NvN5r0KhpKCFHWpdSRz2U0TPdhBhAdd0YeeuQOBPC-Y/htmlpresent" TargetMode="External"/><Relationship Id="rId77" Type="http://schemas.openxmlformats.org/officeDocument/2006/relationships/hyperlink" Target="https://docs.google.com/presentation/d/17Wivqszccf4UdDYI50omSGz9dbgLdV54tJs84lMAUoc/edit?usp=sharing" TargetMode="External"/><Relationship Id="rId76" Type="http://schemas.openxmlformats.org/officeDocument/2006/relationships/hyperlink" Target="https://docs.google.com/document/d/17Kw8mIRmiXWZ4KES51sF4Gt26MpWE54ofJ5LlW-bOA4/view" TargetMode="External"/><Relationship Id="rId79" Type="http://schemas.openxmlformats.org/officeDocument/2006/relationships/hyperlink" Target="https://docs.google.com/presentation/d/17Wivqszccf4UdDYI50omSGz9dbgLdV54tJs84lMAUoc/htmlpresent" TargetMode="External"/><Relationship Id="rId78" Type="http://schemas.openxmlformats.org/officeDocument/2006/relationships/hyperlink" Target="https://docs.google.com/presentation/d/17Wivqszccf4UdDYI50omSGz9dbgLdV54tJs84lMAUoc/view" TargetMode="External"/><Relationship Id="rId71" Type="http://schemas.openxmlformats.org/officeDocument/2006/relationships/hyperlink" Target="https://docs.google.com/document/d/18ebvjhY7K6G-sjMkQxqV8VmgoJ3gnWUxMDxq3hRyyxY/view" TargetMode="External"/><Relationship Id="rId70" Type="http://schemas.openxmlformats.org/officeDocument/2006/relationships/hyperlink" Target="https://docs.google.com/document/d/18ebvjhY7K6G-sjMkQxqV8VmgoJ3gnWUxMDxq3hRyyxY/edit?usp=sharing" TargetMode="External"/><Relationship Id="rId62" Type="http://schemas.openxmlformats.org/officeDocument/2006/relationships/hyperlink" Target="https://docs.google.com/presentation/d/12eZIQrSbEuR-x2q5Gv42TW4dvHsUslJA2Ftr-_aBqSw/edit?usp=sharing" TargetMode="External"/><Relationship Id="rId61" Type="http://schemas.openxmlformats.org/officeDocument/2006/relationships/hyperlink" Target="https://docs.google.com/document/d/1a2RSd_zzJSSIuhu6-HK_jFkuxJXSmihqXO2esmI3tRg/view" TargetMode="External"/><Relationship Id="rId64" Type="http://schemas.openxmlformats.org/officeDocument/2006/relationships/hyperlink" Target="https://docs.google.com/presentation/d/12eZIQrSbEuR-x2q5Gv42TW4dvHsUslJA2Ftr-_aBqSw/htmlpresent" TargetMode="External"/><Relationship Id="rId63" Type="http://schemas.openxmlformats.org/officeDocument/2006/relationships/hyperlink" Target="https://docs.google.com/presentation/d/12eZIQrSbEuR-x2q5Gv42TW4dvHsUslJA2Ftr-_aBqSw/view" TargetMode="External"/><Relationship Id="rId66" Type="http://schemas.openxmlformats.org/officeDocument/2006/relationships/hyperlink" Target="https://docs.google.com/document/d/19a08bLe1Xli3jxbQu1MtAJmmtmDRHU9xh5Se3K6iJTs/view" TargetMode="External"/><Relationship Id="rId65" Type="http://schemas.openxmlformats.org/officeDocument/2006/relationships/hyperlink" Target="https://docs.google.com/document/d/19a08bLe1Xli3jxbQu1MtAJmmtmDRHU9xh5Se3K6iJTs/edit?usp=sharing" TargetMode="External"/><Relationship Id="rId68" Type="http://schemas.openxmlformats.org/officeDocument/2006/relationships/hyperlink" Target="https://docs.google.com/presentation/d/18yMHhOJf9glGtb55lrc3Rel757Xk4DEMZXsrxsR5Ieo/view" TargetMode="External"/><Relationship Id="rId67" Type="http://schemas.openxmlformats.org/officeDocument/2006/relationships/hyperlink" Target="https://docs.google.com/presentation/d/18yMHhOJf9glGtb55lrc3Rel757Xk4DEMZXsrxsR5Ieo/edit?usp=sharing" TargetMode="External"/><Relationship Id="rId60" Type="http://schemas.openxmlformats.org/officeDocument/2006/relationships/hyperlink" Target="https://docs.google.com/document/d/1a2RSd_zzJSSIuhu6-HK_jFkuxJXSmihqXO2esmI3tRg/edit?usp=sharing" TargetMode="External"/><Relationship Id="rId69" Type="http://schemas.openxmlformats.org/officeDocument/2006/relationships/hyperlink" Target="https://docs.google.com/presentation/d/18yMHhOJf9glGtb55lrc3Rel757Xk4DEMZXsrxsR5Ieo/htmlpresent" TargetMode="External"/><Relationship Id="rId51" Type="http://schemas.openxmlformats.org/officeDocument/2006/relationships/hyperlink" Target="https://docs.google.com/presentation/d/1OPDPLM82uAFbVNtQxsIx1qVFwbTnYrMnkS565DYz0Kc/edit?usp=sharing" TargetMode="External"/><Relationship Id="rId50" Type="http://schemas.openxmlformats.org/officeDocument/2006/relationships/hyperlink" Target="https://docs.google.com/document/d/1yq_PUXv1CeAHZI565Pes6hkmQnG9xBghEszU60_moKM/view" TargetMode="External"/><Relationship Id="rId53" Type="http://schemas.openxmlformats.org/officeDocument/2006/relationships/hyperlink" Target="https://docs.google.com/presentation/d/1OPDPLM82uAFbVNtQxsIx1qVFwbTnYrMnkS565DYz0Kc/htmlpresent" TargetMode="External"/><Relationship Id="rId52" Type="http://schemas.openxmlformats.org/officeDocument/2006/relationships/hyperlink" Target="https://docs.google.com/presentation/d/1OPDPLM82uAFbVNtQxsIx1qVFwbTnYrMnkS565DYz0Kc/view" TargetMode="External"/><Relationship Id="rId55" Type="http://schemas.openxmlformats.org/officeDocument/2006/relationships/hyperlink" Target="https://docs.google.com/document/d/1W3AaeONe6UMY1zCizllJMt2p4hAB-yHY0AcaWl72yh0/view" TargetMode="External"/><Relationship Id="rId54" Type="http://schemas.openxmlformats.org/officeDocument/2006/relationships/hyperlink" Target="https://docs.google.com/document/d/1W3AaeONe6UMY1zCizllJMt2p4hAB-yHY0AcaWl72yh0/edit?usp=sharing" TargetMode="External"/><Relationship Id="rId57" Type="http://schemas.openxmlformats.org/officeDocument/2006/relationships/hyperlink" Target="https://docs.google.com/presentation/d/1Y9zCthUvYBJfdPmah95dSrjP6-lQCZO3Z3JOPvN4HYU/view" TargetMode="External"/><Relationship Id="rId56" Type="http://schemas.openxmlformats.org/officeDocument/2006/relationships/hyperlink" Target="https://docs.google.com/presentation/d/1Y9zCthUvYBJfdPmah95dSrjP6-lQCZO3Z3JOPvN4HYU/edit?usp=sharing" TargetMode="External"/><Relationship Id="rId59" Type="http://schemas.openxmlformats.org/officeDocument/2006/relationships/hyperlink" Target="https://drive.google.com/file/d/18vt5PhP25M88bGY6XEV72zenEpaSIp1L/view?usp=sharing" TargetMode="External"/><Relationship Id="rId58" Type="http://schemas.openxmlformats.org/officeDocument/2006/relationships/hyperlink" Target="https://docs.google.com/presentation/d/1Y9zCthUvYBJfdPmah95dSrjP6-lQCZO3Z3JOPvN4HYU/htmlpresent" TargetMode="External"/><Relationship Id="rId107" Type="http://schemas.openxmlformats.org/officeDocument/2006/relationships/hyperlink" Target="https://docs.google.com/document/d/1oE3Zfitol1b31kZadqvsbg1PeT4wkkaWHx06BMeRqdE/edit?usp=sharing" TargetMode="External"/><Relationship Id="rId228" Type="http://schemas.openxmlformats.org/officeDocument/2006/relationships/hyperlink" Target="https://drive.google.com/file/d/1iHHrR4UEPj18vTPQetXBuTlE-h62Dmdc/view?usp=sharing" TargetMode="External"/><Relationship Id="rId349" Type="http://schemas.openxmlformats.org/officeDocument/2006/relationships/hyperlink" Target="https://costamesa360photoboothrental.blogspot.com/2026/03/boutique-event-marketing-agency-la.html" TargetMode="External"/><Relationship Id="rId106" Type="http://schemas.openxmlformats.org/officeDocument/2006/relationships/hyperlink" Target="https://drive.google.com/file/d/1Pa2ux0PMnrJ7y7fVZuApgm9gZlGrCvkP/view?usp=sharing" TargetMode="External"/><Relationship Id="rId227" Type="http://schemas.openxmlformats.org/officeDocument/2006/relationships/hyperlink" Target="https://drive.google.com/file/d/1Gc4vKiM-XzG1P7CZXtfhp7nAfWELehdA/view?usp=sharing" TargetMode="External"/><Relationship Id="rId348" Type="http://schemas.openxmlformats.org/officeDocument/2006/relationships/hyperlink" Target="https://costamesa360photoboothrental.blogspot.com/2026/03/luxury-gala-photography-los-angeles.html" TargetMode="External"/><Relationship Id="rId469" Type="http://schemas.openxmlformats.org/officeDocument/2006/relationships/hyperlink" Target="https://photoboothrentalhuntingtonbeach.blogspot.com/2026/04/high-net-worth-photography-services.html" TargetMode="External"/><Relationship Id="rId105" Type="http://schemas.openxmlformats.org/officeDocument/2006/relationships/hyperlink" Target="https://docs.google.com/presentation/d/1aqR37Rsej2Jd6u5kVyrE3JVXxEMIGc0dsxp_D11Pkc4/htmlpresent" TargetMode="External"/><Relationship Id="rId226" Type="http://schemas.openxmlformats.org/officeDocument/2006/relationships/hyperlink" Target="https://drive.google.com/file/d/1vT316oop_RDEFAdTJ5picMjImtFi_U-m/view?usp=sharing" TargetMode="External"/><Relationship Id="rId347" Type="http://schemas.openxmlformats.org/officeDocument/2006/relationships/hyperlink" Target="https://costamesa360photoboothrental.blogspot.com/2026/03/high-net-worth-photography-services.html" TargetMode="External"/><Relationship Id="rId468" Type="http://schemas.openxmlformats.org/officeDocument/2006/relationships/hyperlink" Target="https://photoboothrentalhuntingtonbeach.blogspot.com/2026/04/soho-house-west-hollywood-marketing.html" TargetMode="External"/><Relationship Id="rId104" Type="http://schemas.openxmlformats.org/officeDocument/2006/relationships/hyperlink" Target="https://docs.google.com/presentation/d/1aqR37Rsej2Jd6u5kVyrE3JVXxEMIGc0dsxp_D11Pkc4/view" TargetMode="External"/><Relationship Id="rId225" Type="http://schemas.openxmlformats.org/officeDocument/2006/relationships/hyperlink" Target="https://drive.google.com/file/d/1z2VfzMqOc_290sAHpZrHIyLkGXTRL0B2/view?usp=sharing" TargetMode="External"/><Relationship Id="rId346" Type="http://schemas.openxmlformats.org/officeDocument/2006/relationships/hyperlink" Target="https://costamesa360photoboothrental.blogspot.com/2026/03/soho-house-west-hollywood-marketing.html" TargetMode="External"/><Relationship Id="rId467" Type="http://schemas.openxmlformats.org/officeDocument/2006/relationships/hyperlink" Target="https://photoboothrentalhuntingtonbeach.blogspot.com/2026/04/chateau-marmont-event-photography.html" TargetMode="External"/><Relationship Id="rId109" Type="http://schemas.openxmlformats.org/officeDocument/2006/relationships/hyperlink" Target="https://docs.google.com/presentation/d/1bhlo-FHVyvSReZOWoOBvXKWitJaKEbtszC2uOaOXQfI/edit?usp=sharing" TargetMode="External"/><Relationship Id="rId108" Type="http://schemas.openxmlformats.org/officeDocument/2006/relationships/hyperlink" Target="https://docs.google.com/document/d/1oE3Zfitol1b31kZadqvsbg1PeT4wkkaWHx06BMeRqdE/view" TargetMode="External"/><Relationship Id="rId229" Type="http://schemas.openxmlformats.org/officeDocument/2006/relationships/hyperlink" Target="https://drive.google.com/file/d/1R9v48sJxtoloNaiUfEDTqrBNmcOsTo2p/view?usp=sharing" TargetMode="External"/><Relationship Id="rId220" Type="http://schemas.openxmlformats.org/officeDocument/2006/relationships/hyperlink" Target="https://drive.google.com/file/d/1HWcQ2FU7poYi9l3qjs4hPA5T32Y73TlO/view?usp=sharing" TargetMode="External"/><Relationship Id="rId341" Type="http://schemas.openxmlformats.org/officeDocument/2006/relationships/hyperlink" Target="https://drive.google.com/file/d/13KOmjp34BExACVXY94EmvzkW9UG9pw1f/view?usp=sharing" TargetMode="External"/><Relationship Id="rId462" Type="http://schemas.openxmlformats.org/officeDocument/2006/relationships/hyperlink" Target="https://ddigitalorbit360orangecounty.blogspot.com/2026/04/boutique-event-marketing-agency-la.html" TargetMode="External"/><Relationship Id="rId340" Type="http://schemas.openxmlformats.org/officeDocument/2006/relationships/hyperlink" Target="https://drive.google.com/file/d/1aZNYoW19kacNbJTa2tA1nphpGYMD-nMD/view?usp=sharing" TargetMode="External"/><Relationship Id="rId461" Type="http://schemas.openxmlformats.org/officeDocument/2006/relationships/hyperlink" Target="https://ddigitalorbit360orangecounty.blogspot.com/2026/04/luxury-gala-photography-los-angeles.html" TargetMode="External"/><Relationship Id="rId460" Type="http://schemas.openxmlformats.org/officeDocument/2006/relationships/hyperlink" Target="https://ddigitalorbit360orangecounty.blogspot.com/2026/04/high-net-worth-photography-services.html" TargetMode="External"/><Relationship Id="rId103" Type="http://schemas.openxmlformats.org/officeDocument/2006/relationships/hyperlink" Target="https://docs.google.com/presentation/d/1aqR37Rsej2Jd6u5kVyrE3JVXxEMIGc0dsxp_D11Pkc4/edit?usp=sharing" TargetMode="External"/><Relationship Id="rId224" Type="http://schemas.openxmlformats.org/officeDocument/2006/relationships/hyperlink" Target="https://drive.google.com/file/d/1tUZLcBKSuDhwFLyolyDKq7TQqFjNR3rB/view?usp=sharing" TargetMode="External"/><Relationship Id="rId345" Type="http://schemas.openxmlformats.org/officeDocument/2006/relationships/hyperlink" Target="https://costamesa360photoboothrental.blogspot.com/2026/03/chateau-marmont-event-photography.html" TargetMode="External"/><Relationship Id="rId466" Type="http://schemas.openxmlformats.org/officeDocument/2006/relationships/hyperlink" Target="https://photoboothrentalhuntingtonbeach.blogspot.com/2026/04/the-maybourne-beverly-hills-marketing.html" TargetMode="External"/><Relationship Id="rId102" Type="http://schemas.openxmlformats.org/officeDocument/2006/relationships/hyperlink" Target="https://docs.google.com/document/d/1vMpo7g74qoF4tlQHiUeY3HAHRtFM8_thL-39ABV0JDg/view" TargetMode="External"/><Relationship Id="rId223" Type="http://schemas.openxmlformats.org/officeDocument/2006/relationships/hyperlink" Target="https://drive.google.com/file/d/1of0qZyHpyBD1IJPnY3tc-sYogHssJl45/view?usp=sharing" TargetMode="External"/><Relationship Id="rId344" Type="http://schemas.openxmlformats.org/officeDocument/2006/relationships/hyperlink" Target="https://costamesa360photoboothrental.blogspot.com/2026/03/the-maybourne-beverly-hills-marketing.html" TargetMode="External"/><Relationship Id="rId465" Type="http://schemas.openxmlformats.org/officeDocument/2006/relationships/hyperlink" Target="https://photoboothrentalhuntingtonbeach.blogspot.com/2026/04/waldorf-astoria-beverly-hills-photo.html" TargetMode="External"/><Relationship Id="rId101" Type="http://schemas.openxmlformats.org/officeDocument/2006/relationships/hyperlink" Target="https://docs.google.com/document/d/1vMpo7g74qoF4tlQHiUeY3HAHRtFM8_thL-39ABV0JDg/edit?usp=sharing" TargetMode="External"/><Relationship Id="rId222" Type="http://schemas.openxmlformats.org/officeDocument/2006/relationships/hyperlink" Target="https://drive.google.com/file/d/1nPPNGb6HXxXf7RNkVMPLB5ggWmBdwdkh/view?usp=sharing" TargetMode="External"/><Relationship Id="rId343" Type="http://schemas.openxmlformats.org/officeDocument/2006/relationships/hyperlink" Target="https://costamesa360photoboothrental.blogspot.com/2026/03/waldorf-astoria-beverly-hills-photo.html" TargetMode="External"/><Relationship Id="rId464" Type="http://schemas.openxmlformats.org/officeDocument/2006/relationships/hyperlink" Target="https://photoboothrentalhuntingtonbeach.blogspot.com/2026/04/the-beverly-hills-hotel-event-marketing.html" TargetMode="External"/><Relationship Id="rId100" Type="http://schemas.openxmlformats.org/officeDocument/2006/relationships/hyperlink" Target="https://docs.google.com/presentation/d/1lWS7aBihXSD6BotlyywEY9giAcz2pwejsyHu4zNGacM/htmlpresent" TargetMode="External"/><Relationship Id="rId221" Type="http://schemas.openxmlformats.org/officeDocument/2006/relationships/hyperlink" Target="https://drive.google.com/file/d/1avpGmPagV0TLtR6GT2Ug3ST-i3aSPXLN/view?usp=sharing" TargetMode="External"/><Relationship Id="rId342" Type="http://schemas.openxmlformats.org/officeDocument/2006/relationships/hyperlink" Target="https://costamesa360photoboothrental.blogspot.com/2026/03/the-beverly-hills-hotel-event-marketing.html" TargetMode="External"/><Relationship Id="rId463" Type="http://schemas.openxmlformats.org/officeDocument/2006/relationships/hyperlink" Target="https://ddigitalorbit360orangecounty.blogspot.com/2026/04/premium-visual-brand-strategy.html" TargetMode="External"/><Relationship Id="rId217" Type="http://schemas.openxmlformats.org/officeDocument/2006/relationships/hyperlink" Target="https://drive.google.com/file/d/1oIsJCTYgD_6wPqV4j6hkGBZ4jpb1yVEz/view?usp=sharing" TargetMode="External"/><Relationship Id="rId338" Type="http://schemas.openxmlformats.org/officeDocument/2006/relationships/hyperlink" Target="https://drive.google.com/file/d/1KDxsLCvqUnIO3E1Xhogn_cUOw7S-_EkS/view?usp=sharing" TargetMode="External"/><Relationship Id="rId459" Type="http://schemas.openxmlformats.org/officeDocument/2006/relationships/hyperlink" Target="https://ddigitalorbit360orangecounty.blogspot.com/2026/04/hotel-per-la-event-marketing.html" TargetMode="External"/><Relationship Id="rId216" Type="http://schemas.openxmlformats.org/officeDocument/2006/relationships/hyperlink" Target="https://drive.google.com/file/d/1IcCbxey2MiNJgDJuJOLtYfRRvI8YQ7U7/view?usp=sharing" TargetMode="External"/><Relationship Id="rId337" Type="http://schemas.openxmlformats.org/officeDocument/2006/relationships/hyperlink" Target="https://drive.google.com/file/d/1ya9xkNifVmdI1tkfgR-hxc3QV5j2m39y/view?usp=sharing" TargetMode="External"/><Relationship Id="rId458" Type="http://schemas.openxmlformats.org/officeDocument/2006/relationships/hyperlink" Target="https://ddigitalorbit360orangecounty.blogspot.com/2026/04/soho-house-west-hollywood-marketing.html" TargetMode="External"/><Relationship Id="rId215" Type="http://schemas.openxmlformats.org/officeDocument/2006/relationships/hyperlink" Target="https://drive.google.com/file/d/1Y6nReUpNe_dtlocxyAJnyi7kKdG4PMwM/view?usp=sharing" TargetMode="External"/><Relationship Id="rId336" Type="http://schemas.openxmlformats.org/officeDocument/2006/relationships/hyperlink" Target="https://drive.google.com/file/d/1Ag08Y9rZ15AlzMsoSWX-aeOlWo531c5L/view?usp=sharing" TargetMode="External"/><Relationship Id="rId457" Type="http://schemas.openxmlformats.org/officeDocument/2006/relationships/hyperlink" Target="https://ddigitalorbit360orangecounty.blogspot.com/2026/04/chateau-marmont-event-photography.html" TargetMode="External"/><Relationship Id="rId214" Type="http://schemas.openxmlformats.org/officeDocument/2006/relationships/hyperlink" Target="https://drive.google.com/file/d/128UVMjbVEmGMYBte4PsGQ0y2oFmtqiQA/view?usp=sharing" TargetMode="External"/><Relationship Id="rId335" Type="http://schemas.openxmlformats.org/officeDocument/2006/relationships/hyperlink" Target="https://drive.google.com/file/d/1JWmV85c4S0lG9HNFbrEwLfDQmZDDbehE/view?usp=sharing" TargetMode="External"/><Relationship Id="rId456" Type="http://schemas.openxmlformats.org/officeDocument/2006/relationships/hyperlink" Target="https://ddigitalorbit360orangecounty.blogspot.com/2026/04/the-maybourne-beverly-hills-marketing.html" TargetMode="External"/><Relationship Id="rId219" Type="http://schemas.openxmlformats.org/officeDocument/2006/relationships/hyperlink" Target="https://drive.google.com/file/d/1JUNYz2vuTURqkkSE6IT9HBjFmNNDsvmM/view?usp=sharing" TargetMode="External"/><Relationship Id="rId218" Type="http://schemas.openxmlformats.org/officeDocument/2006/relationships/hyperlink" Target="https://drive.google.com/file/d/1scmutnPM8VhW6NZb3ilvyybTr0MCkAhy/view?usp=sharing" TargetMode="External"/><Relationship Id="rId339" Type="http://schemas.openxmlformats.org/officeDocument/2006/relationships/hyperlink" Target="https://drive.google.com/file/d/1RWtZj0us4V8yizlP0HWTbeFpF0Ju9sWR/view?usp=sharing" TargetMode="External"/><Relationship Id="rId330" Type="http://schemas.openxmlformats.org/officeDocument/2006/relationships/hyperlink" Target="https://drive.google.com/file/d/1BtrRHPSs7uI14oy2IOLXQkPUAsSmocXE/view?usp=sharing" TargetMode="External"/><Relationship Id="rId451" Type="http://schemas.openxmlformats.org/officeDocument/2006/relationships/hyperlink" Target="https://costamesa360photoboothrental.blogspot.com/2026/04/boutique-event-marketing-agency-la.html" TargetMode="External"/><Relationship Id="rId450" Type="http://schemas.openxmlformats.org/officeDocument/2006/relationships/hyperlink" Target="https://costamesa360photoboothrental.blogspot.com/2026/04/luxury-gala-photography-los-angeles.html" TargetMode="External"/><Relationship Id="rId213" Type="http://schemas.openxmlformats.org/officeDocument/2006/relationships/hyperlink" Target="https://drive.google.com/file/d/1lbMyhJVLja0lGgJMJje1LA8ELECqrTs9/view?usp=sharing" TargetMode="External"/><Relationship Id="rId334" Type="http://schemas.openxmlformats.org/officeDocument/2006/relationships/hyperlink" Target="https://drive.google.com/file/d/1AYaEq97nASbvB6nxWwEveMsGt4IHB5uE/view?usp=sharing" TargetMode="External"/><Relationship Id="rId455" Type="http://schemas.openxmlformats.org/officeDocument/2006/relationships/hyperlink" Target="https://ddigitalorbit360orangecounty.blogspot.com/2026/04/waldorf-astoria-beverly-hills-photo.html" TargetMode="External"/><Relationship Id="rId212" Type="http://schemas.openxmlformats.org/officeDocument/2006/relationships/hyperlink" Target="https://drive.google.com/file/d/1btx0-MB3RggoN72QnYspPIkzfNSn-L5P/view?usp=sharing" TargetMode="External"/><Relationship Id="rId333" Type="http://schemas.openxmlformats.org/officeDocument/2006/relationships/hyperlink" Target="https://drive.google.com/file/d/1GwGZ_mY18wjS8bkXQ40RaqX0XQCyBd8S/view?usp=sharing" TargetMode="External"/><Relationship Id="rId454" Type="http://schemas.openxmlformats.org/officeDocument/2006/relationships/hyperlink" Target="https://ddigitalorbit360orangecounty.blogspot.com/2026/04/the-beverly-hills-hotel-event-marketing.html" TargetMode="External"/><Relationship Id="rId211" Type="http://schemas.openxmlformats.org/officeDocument/2006/relationships/hyperlink" Target="https://drive.google.com/file/d/10iM7jhscTlATQQz5KoqeGmFdh6zfU6L1/view?usp=sharing" TargetMode="External"/><Relationship Id="rId332" Type="http://schemas.openxmlformats.org/officeDocument/2006/relationships/hyperlink" Target="https://drive.google.com/file/d/1Z5Skpu-6FCcladJJ0woDTa7Ul0Bo5rzn/view?usp=sharing" TargetMode="External"/><Relationship Id="rId453" Type="http://schemas.openxmlformats.org/officeDocument/2006/relationships/hyperlink" Target="https://costamesa360photoboothrental.blogspot.com/2026/04/private-estate-event-photography.html" TargetMode="External"/><Relationship Id="rId210" Type="http://schemas.openxmlformats.org/officeDocument/2006/relationships/hyperlink" Target="https://drive.google.com/file/d/11_JbpF26yGOtIWlI3zEHa7J8bRNL2DIS/view?usp=sharing" TargetMode="External"/><Relationship Id="rId331" Type="http://schemas.openxmlformats.org/officeDocument/2006/relationships/hyperlink" Target="https://drive.google.com/file/d/1mm-_n-Oz8XVl9PS775WV5-f-K9xINd2k/view?usp=sharing" TargetMode="External"/><Relationship Id="rId452" Type="http://schemas.openxmlformats.org/officeDocument/2006/relationships/hyperlink" Target="https://costamesa360photoboothrental.blogspot.com/2026/04/premium-visual-brand-strategy.html" TargetMode="External"/><Relationship Id="rId370" Type="http://schemas.openxmlformats.org/officeDocument/2006/relationships/hyperlink" Target="https://photoboothrentalhuntingtonbeach.blogspot.com/2026/03/luxury-gala-photography-los-angeles.html" TargetMode="External"/><Relationship Id="rId491" Type="http://schemas.openxmlformats.org/officeDocument/2006/relationships/hyperlink" Target="https://glamfilterphotobooth.blogspot.com/2026/04/high-net-worth-photography-services.html" TargetMode="External"/><Relationship Id="rId490" Type="http://schemas.openxmlformats.org/officeDocument/2006/relationships/hyperlink" Target="https://glamfilterphotobooth.blogspot.com/2026/04/hotel-per-la-event-marketing.html" TargetMode="External"/><Relationship Id="rId129" Type="http://schemas.openxmlformats.org/officeDocument/2006/relationships/hyperlink" Target="https://docs.google.com/document/d/1W100JWMHvGZhjvnu5MSzoVeEp-0m_ayaZf4v8Sp9JQc/view" TargetMode="External"/><Relationship Id="rId128" Type="http://schemas.openxmlformats.org/officeDocument/2006/relationships/hyperlink" Target="https://docs.google.com/document/d/1W100JWMHvGZhjvnu5MSzoVeEp-0m_ayaZf4v8Sp9JQc/edit?usp=sharing" TargetMode="External"/><Relationship Id="rId249" Type="http://schemas.openxmlformats.org/officeDocument/2006/relationships/hyperlink" Target="https://drive.google.com/file/d/1XoZvQEDN8SfkSN0nY3Uwn1SAofb5qzr2/view?usp=sharing" TargetMode="External"/><Relationship Id="rId127" Type="http://schemas.openxmlformats.org/officeDocument/2006/relationships/hyperlink" Target="https://docs.google.com/presentation/d/1720FmjtVpwqyEdp96C17XI-85nycDidt1PVdgyzTO74/htmlpresent" TargetMode="External"/><Relationship Id="rId248" Type="http://schemas.openxmlformats.org/officeDocument/2006/relationships/hyperlink" Target="https://drive.google.com/file/d/1azbRtDYJxiHpel-ZDrLXiMNuhn9NgwoL/view?usp=sharing" TargetMode="External"/><Relationship Id="rId369" Type="http://schemas.openxmlformats.org/officeDocument/2006/relationships/hyperlink" Target="https://photoboothrentalhuntingtonbeach.blogspot.com/2026/03/high-net-worth-photography-services.html" TargetMode="External"/><Relationship Id="rId126" Type="http://schemas.openxmlformats.org/officeDocument/2006/relationships/hyperlink" Target="https://docs.google.com/presentation/d/1720FmjtVpwqyEdp96C17XI-85nycDidt1PVdgyzTO74/view" TargetMode="External"/><Relationship Id="rId247" Type="http://schemas.openxmlformats.org/officeDocument/2006/relationships/hyperlink" Target="https://drive.google.com/file/d/1VrzqF7bqNRzrzPI1aOSiGkmZNcENmE3a/view?usp=sharing" TargetMode="External"/><Relationship Id="rId368" Type="http://schemas.openxmlformats.org/officeDocument/2006/relationships/hyperlink" Target="https://photoboothrentalhuntingtonbeach.blogspot.com/2026/03/soho-house-west-hollywood-marketing.html" TargetMode="External"/><Relationship Id="rId489" Type="http://schemas.openxmlformats.org/officeDocument/2006/relationships/hyperlink" Target="https://glamfilterphotobooth.blogspot.com/2026/04/lombardi-house-marketing-photography.html" TargetMode="External"/><Relationship Id="rId121" Type="http://schemas.openxmlformats.org/officeDocument/2006/relationships/hyperlink" Target="https://docs.google.com/presentation/d/1KxLpS4q8bXiOgqsPNEga9JOdcjCtAGeUDhq7PGnizYo/htmlpresent" TargetMode="External"/><Relationship Id="rId242" Type="http://schemas.openxmlformats.org/officeDocument/2006/relationships/hyperlink" Target="https://drive.google.com/file/d/1oZC9xDaNwxyiqOfwHmpjbuqY-8MOpKlx/view?usp=sharing" TargetMode="External"/><Relationship Id="rId363" Type="http://schemas.openxmlformats.org/officeDocument/2006/relationships/hyperlink" Target="https://ddigitalorbit360orangecounty.blogspot.com/2026/03/ultra-luxury-brand-activation-la.html" TargetMode="External"/><Relationship Id="rId484" Type="http://schemas.openxmlformats.org/officeDocument/2006/relationships/hyperlink" Target="https://glamfilterphotobooth.blogspot.com/2026/04/the-beverly-hills-hotel-event-marketing.html" TargetMode="External"/><Relationship Id="rId120" Type="http://schemas.openxmlformats.org/officeDocument/2006/relationships/hyperlink" Target="https://docs.google.com/presentation/d/1KxLpS4q8bXiOgqsPNEga9JOdcjCtAGeUDhq7PGnizYo/view" TargetMode="External"/><Relationship Id="rId241" Type="http://schemas.openxmlformats.org/officeDocument/2006/relationships/hyperlink" Target="https://drive.google.com/file/d/1GC3OorFTxY-d5uD3MjNCbKHxb7iQqQ70/view?usp=sharing" TargetMode="External"/><Relationship Id="rId362" Type="http://schemas.openxmlformats.org/officeDocument/2006/relationships/hyperlink" Target="https://ddigitalorbit360orangecounty.blogspot.com/2026/03/elite-corporate-event-marketing.html" TargetMode="External"/><Relationship Id="rId483" Type="http://schemas.openxmlformats.org/officeDocument/2006/relationships/hyperlink" Target="https://gifphotoboothrentalorangecounty.blogspot.com/2026/04/premium-visual-brand-strategy.html" TargetMode="External"/><Relationship Id="rId240" Type="http://schemas.openxmlformats.org/officeDocument/2006/relationships/hyperlink" Target="https://drive.google.com/file/d/1n-fv9PgrJCz-0D2x7V7i1SwkiojyWGp6/view?usp=sharing" TargetMode="External"/><Relationship Id="rId361" Type="http://schemas.openxmlformats.org/officeDocument/2006/relationships/hyperlink" Target="https://ddigitalorbit360orangecounty.blogspot.com/2026/03/private-estate-event-photography.html" TargetMode="External"/><Relationship Id="rId482" Type="http://schemas.openxmlformats.org/officeDocument/2006/relationships/hyperlink" Target="https://gifphotoboothrentalorangecounty.blogspot.com/2026/04/boutique-event-marketing-agency-la.html" TargetMode="External"/><Relationship Id="rId360" Type="http://schemas.openxmlformats.org/officeDocument/2006/relationships/hyperlink" Target="https://ddigitalorbit360orangecounty.blogspot.com/2026/03/skirball-cultural-center-marketing.html" TargetMode="External"/><Relationship Id="rId481" Type="http://schemas.openxmlformats.org/officeDocument/2006/relationships/hyperlink" Target="https://gifphotoboothrentalorangecounty.blogspot.com/2026/04/luxury-gala-photography-los-angeles.html" TargetMode="External"/><Relationship Id="rId125" Type="http://schemas.openxmlformats.org/officeDocument/2006/relationships/hyperlink" Target="https://docs.google.com/presentation/d/1720FmjtVpwqyEdp96C17XI-85nycDidt1PVdgyzTO74/edit?usp=sharing" TargetMode="External"/><Relationship Id="rId246" Type="http://schemas.openxmlformats.org/officeDocument/2006/relationships/hyperlink" Target="https://drive.google.com/file/d/10e-b6HXbbJeAKtCAtq0rBO2mHbpHx9gY/view?usp=sharing" TargetMode="External"/><Relationship Id="rId367" Type="http://schemas.openxmlformats.org/officeDocument/2006/relationships/hyperlink" Target="https://photoboothrentalhuntingtonbeach.blogspot.com/2026/03/chateau-marmont-event-photography.html" TargetMode="External"/><Relationship Id="rId488" Type="http://schemas.openxmlformats.org/officeDocument/2006/relationships/hyperlink" Target="https://glamfilterphotobooth.blogspot.com/2026/04/soho-house-west-hollywood-marketing.html" TargetMode="External"/><Relationship Id="rId124" Type="http://schemas.openxmlformats.org/officeDocument/2006/relationships/hyperlink" Target="https://docs.google.com/document/d/1cHtB5rpubS-TYcBOqYbRh_PpKJNp5wb_xEYts7PjV-Q/view" TargetMode="External"/><Relationship Id="rId245" Type="http://schemas.openxmlformats.org/officeDocument/2006/relationships/hyperlink" Target="https://drive.google.com/file/d/1i3DXtf5DlraZuNxuZ1CwgM9eVvXvRScc/view?usp=sharing" TargetMode="External"/><Relationship Id="rId366" Type="http://schemas.openxmlformats.org/officeDocument/2006/relationships/hyperlink" Target="https://photoboothrentalhuntingtonbeach.blogspot.com/2026/03/the-maybourne-beverly-hills-marketing.html" TargetMode="External"/><Relationship Id="rId487" Type="http://schemas.openxmlformats.org/officeDocument/2006/relationships/hyperlink" Target="https://glamfilterphotobooth.blogspot.com/2026/04/chateau-marmont-event-photography.html" TargetMode="External"/><Relationship Id="rId123" Type="http://schemas.openxmlformats.org/officeDocument/2006/relationships/hyperlink" Target="https://docs.google.com/document/d/1cHtB5rpubS-TYcBOqYbRh_PpKJNp5wb_xEYts7PjV-Q/edit?usp=sharing" TargetMode="External"/><Relationship Id="rId244" Type="http://schemas.openxmlformats.org/officeDocument/2006/relationships/hyperlink" Target="https://drive.google.com/file/d/1xHf-ejZcGvmkO5Tcd6Yuefnnaghso-I4/view?usp=sharing" TargetMode="External"/><Relationship Id="rId365" Type="http://schemas.openxmlformats.org/officeDocument/2006/relationships/hyperlink" Target="https://photoboothrentalhuntingtonbeach.blogspot.com/2026/03/waldorf-astoria-beverly-hills-photo.html" TargetMode="External"/><Relationship Id="rId486" Type="http://schemas.openxmlformats.org/officeDocument/2006/relationships/hyperlink" Target="https://glamfilterphotobooth.blogspot.com/2026/04/the-maybourne-beverly-hills-marketing.html" TargetMode="External"/><Relationship Id="rId122" Type="http://schemas.openxmlformats.org/officeDocument/2006/relationships/hyperlink" Target="https://drive.google.com/file/d/1Ck6QU1d9DDpRC53UzMW8HtbqWW1KH2o9/view?usp=sharing" TargetMode="External"/><Relationship Id="rId243" Type="http://schemas.openxmlformats.org/officeDocument/2006/relationships/hyperlink" Target="https://drive.google.com/file/d/1isN93tryHMOFyenFdXBs09snzq7RaZY9/view?usp=sharing" TargetMode="External"/><Relationship Id="rId364" Type="http://schemas.openxmlformats.org/officeDocument/2006/relationships/hyperlink" Target="https://photoboothrentalhuntingtonbeach.blogspot.com/2026/03/the-beverly-hills-hotel-event-marketing.html" TargetMode="External"/><Relationship Id="rId485" Type="http://schemas.openxmlformats.org/officeDocument/2006/relationships/hyperlink" Target="https://glamfilterphotobooth.blogspot.com/2026/04/waldorf-astoria-beverly-hills-photo.html" TargetMode="External"/><Relationship Id="rId95" Type="http://schemas.openxmlformats.org/officeDocument/2006/relationships/hyperlink" Target="https://docs.google.com/presentation/d/1BfNtGOjIZz6-pV4qdqJvHRHt3nD9zs4Xg71lq-gkFNM/htmlpresent" TargetMode="External"/><Relationship Id="rId94" Type="http://schemas.openxmlformats.org/officeDocument/2006/relationships/hyperlink" Target="https://docs.google.com/presentation/d/1BfNtGOjIZz6-pV4qdqJvHRHt3nD9zs4Xg71lq-gkFNM/view" TargetMode="External"/><Relationship Id="rId97" Type="http://schemas.openxmlformats.org/officeDocument/2006/relationships/hyperlink" Target="https://docs.google.com/document/d/1w12S9gOamRovAQasfcbhbNv8mY2YiKdUbH5DBmnubuM/view" TargetMode="External"/><Relationship Id="rId96" Type="http://schemas.openxmlformats.org/officeDocument/2006/relationships/hyperlink" Target="https://docs.google.com/document/d/1w12S9gOamRovAQasfcbhbNv8mY2YiKdUbH5DBmnubuM/edit?usp=sharing" TargetMode="External"/><Relationship Id="rId99" Type="http://schemas.openxmlformats.org/officeDocument/2006/relationships/hyperlink" Target="https://docs.google.com/presentation/d/1lWS7aBihXSD6BotlyywEY9giAcz2pwejsyHu4zNGacM/view" TargetMode="External"/><Relationship Id="rId480" Type="http://schemas.openxmlformats.org/officeDocument/2006/relationships/hyperlink" Target="https://gifphotoboothrentalorangecounty.blogspot.com/2026/04/high-net-worth-photography-services.html" TargetMode="External"/><Relationship Id="rId98" Type="http://schemas.openxmlformats.org/officeDocument/2006/relationships/hyperlink" Target="https://docs.google.com/presentation/d/1lWS7aBihXSD6BotlyywEY9giAcz2pwejsyHu4zNGacM/edit?usp=sharing" TargetMode="External"/><Relationship Id="rId91" Type="http://schemas.openxmlformats.org/officeDocument/2006/relationships/hyperlink" Target="https://docs.google.com/document/d/1ijsUh2OuZcZQEGltIekt-Vd3ig4q3DQTD3hCwsgSEZc/edit?usp=sharing" TargetMode="External"/><Relationship Id="rId90" Type="http://schemas.openxmlformats.org/officeDocument/2006/relationships/hyperlink" Target="https://drive.google.com/file/d/1vhRe_DzzVQkmCC_yc_HkqOReUvAlrZMF/view?usp=sharing" TargetMode="External"/><Relationship Id="rId93" Type="http://schemas.openxmlformats.org/officeDocument/2006/relationships/hyperlink" Target="https://docs.google.com/presentation/d/1BfNtGOjIZz6-pV4qdqJvHRHt3nD9zs4Xg71lq-gkFNM/edit?usp=sharing" TargetMode="External"/><Relationship Id="rId92" Type="http://schemas.openxmlformats.org/officeDocument/2006/relationships/hyperlink" Target="https://docs.google.com/document/d/1ijsUh2OuZcZQEGltIekt-Vd3ig4q3DQTD3hCwsgSEZc/view" TargetMode="External"/><Relationship Id="rId118" Type="http://schemas.openxmlformats.org/officeDocument/2006/relationships/hyperlink" Target="https://docs.google.com/document/d/1_GZC73ImG1AN6ltB-Uu9362cRjBB5WGSuSihBp0jsi0/view" TargetMode="External"/><Relationship Id="rId239" Type="http://schemas.openxmlformats.org/officeDocument/2006/relationships/hyperlink" Target="https://drive.google.com/file/d/1t0Ml73Rjt9u-Cv-Uhxkxf5K_GHUvTTGk/view?usp=sharing" TargetMode="External"/><Relationship Id="rId117" Type="http://schemas.openxmlformats.org/officeDocument/2006/relationships/hyperlink" Target="https://docs.google.com/document/d/1_GZC73ImG1AN6ltB-Uu9362cRjBB5WGSuSihBp0jsi0/edit?usp=sharing" TargetMode="External"/><Relationship Id="rId238" Type="http://schemas.openxmlformats.org/officeDocument/2006/relationships/hyperlink" Target="https://drive.google.com/file/d/14uevtJScXVfLzV6QNT9eYWQ2i2Nwpk1b/view?usp=sharing" TargetMode="External"/><Relationship Id="rId359" Type="http://schemas.openxmlformats.org/officeDocument/2006/relationships/hyperlink" Target="https://ddigitalorbit360orangecounty.blogspot.com/2026/03/hammer-museum-event-photography.html" TargetMode="External"/><Relationship Id="rId116" Type="http://schemas.openxmlformats.org/officeDocument/2006/relationships/hyperlink" Target="https://docs.google.com/presentation/d/1KPYplxTbTHDp1s2bya_iFvgLtO_dnoXiANUmqCwj6ek/htmlpresent" TargetMode="External"/><Relationship Id="rId237" Type="http://schemas.openxmlformats.org/officeDocument/2006/relationships/hyperlink" Target="https://drive.google.com/file/d/1TveqYbbf61vOanVhn4YmcTwYf0ko__yl/view?usp=sharing" TargetMode="External"/><Relationship Id="rId358" Type="http://schemas.openxmlformats.org/officeDocument/2006/relationships/hyperlink" Target="https://ddigitalorbit360orangecounty.blogspot.com/2026/03/the-london-west-hollywood-photography.html" TargetMode="External"/><Relationship Id="rId479" Type="http://schemas.openxmlformats.org/officeDocument/2006/relationships/hyperlink" Target="https://gifphotoboothrentalorangecounty.blogspot.com/2026/04/hotel-per-la-event-marketing.html" TargetMode="External"/><Relationship Id="rId115" Type="http://schemas.openxmlformats.org/officeDocument/2006/relationships/hyperlink" Target="https://docs.google.com/presentation/d/1KPYplxTbTHDp1s2bya_iFvgLtO_dnoXiANUmqCwj6ek/view" TargetMode="External"/><Relationship Id="rId236" Type="http://schemas.openxmlformats.org/officeDocument/2006/relationships/hyperlink" Target="https://drive.google.com/file/d/1ZUjn8QZ1uvqwtojpkTKX9o9PpMyv-5U0/view?usp=sharing" TargetMode="External"/><Relationship Id="rId357" Type="http://schemas.openxmlformats.org/officeDocument/2006/relationships/hyperlink" Target="https://ddigitalorbit360orangecounty.blogspot.com/2026/03/greystone-mansion-photo-marketing.html" TargetMode="External"/><Relationship Id="rId478" Type="http://schemas.openxmlformats.org/officeDocument/2006/relationships/hyperlink" Target="https://gifphotoboothrentalorangecounty.blogspot.com/2026/04/soho-house-west-hollywood-marketing.html" TargetMode="External"/><Relationship Id="rId119" Type="http://schemas.openxmlformats.org/officeDocument/2006/relationships/hyperlink" Target="https://docs.google.com/presentation/d/1KxLpS4q8bXiOgqsPNEga9JOdcjCtAGeUDhq7PGnizYo/edit?usp=sharing" TargetMode="External"/><Relationship Id="rId110" Type="http://schemas.openxmlformats.org/officeDocument/2006/relationships/hyperlink" Target="https://docs.google.com/presentation/d/1bhlo-FHVyvSReZOWoOBvXKWitJaKEbtszC2uOaOXQfI/view" TargetMode="External"/><Relationship Id="rId231" Type="http://schemas.openxmlformats.org/officeDocument/2006/relationships/hyperlink" Target="https://drive.google.com/file/d/12MDW1CShuHD7fUYkX5-8NyGMdRh4wTXo/view?usp=sharing" TargetMode="External"/><Relationship Id="rId352" Type="http://schemas.openxmlformats.org/officeDocument/2006/relationships/hyperlink" Target="https://ddigitalorbit360orangecounty.blogspot.com/2026/03/the-beverly-hills-hotel-event-marketing.html" TargetMode="External"/><Relationship Id="rId473" Type="http://schemas.openxmlformats.org/officeDocument/2006/relationships/hyperlink" Target="https://photoboothrentalhuntingtonbeach.blogspot.com/2026/04/private-estate-event-photography.html" TargetMode="External"/><Relationship Id="rId230" Type="http://schemas.openxmlformats.org/officeDocument/2006/relationships/hyperlink" Target="https://drive.google.com/file/d/1UTjQaLcvYH_15Lzf4KVmXW48NLTACaIP/view?usp=sharing" TargetMode="External"/><Relationship Id="rId351" Type="http://schemas.openxmlformats.org/officeDocument/2006/relationships/hyperlink" Target="https://costamesa360photoboothrental.blogspot.com/2026/03/private-estate-event-photography.html" TargetMode="External"/><Relationship Id="rId472" Type="http://schemas.openxmlformats.org/officeDocument/2006/relationships/hyperlink" Target="https://photoboothrentalhuntingtonbeach.blogspot.com/2026/04/premium-visual-brand-strategy.html" TargetMode="External"/><Relationship Id="rId350" Type="http://schemas.openxmlformats.org/officeDocument/2006/relationships/hyperlink" Target="https://costamesa360photoboothrental.blogspot.com/2026/03/premium-visual-brand-strategy.html" TargetMode="External"/><Relationship Id="rId471" Type="http://schemas.openxmlformats.org/officeDocument/2006/relationships/hyperlink" Target="https://photoboothrentalhuntingtonbeach.blogspot.com/2026/04/boutique-event-marketing-agency-la.html" TargetMode="External"/><Relationship Id="rId470" Type="http://schemas.openxmlformats.org/officeDocument/2006/relationships/hyperlink" Target="https://photoboothrentalhuntingtonbeach.blogspot.com/2026/04/luxury-gala-photography-los-angeles.html" TargetMode="External"/><Relationship Id="rId114" Type="http://schemas.openxmlformats.org/officeDocument/2006/relationships/hyperlink" Target="https://docs.google.com/presentation/d/1KPYplxTbTHDp1s2bya_iFvgLtO_dnoXiANUmqCwj6ek/edit?usp=sharing" TargetMode="External"/><Relationship Id="rId235" Type="http://schemas.openxmlformats.org/officeDocument/2006/relationships/hyperlink" Target="https://drive.google.com/file/d/1ldQJXnVuzVMGP_RK8FLjWUmfBPAj5A0V/view?usp=sharing" TargetMode="External"/><Relationship Id="rId356" Type="http://schemas.openxmlformats.org/officeDocument/2006/relationships/hyperlink" Target="https://ddigitalorbit360orangecounty.blogspot.com/2026/03/soho-house-west-hollywood-marketing.html" TargetMode="External"/><Relationship Id="rId477" Type="http://schemas.openxmlformats.org/officeDocument/2006/relationships/hyperlink" Target="https://gifphotoboothrentalorangecounty.blogspot.com/2026/04/chateau-marmont-event-photography.html" TargetMode="External"/><Relationship Id="rId113" Type="http://schemas.openxmlformats.org/officeDocument/2006/relationships/hyperlink" Target="https://docs.google.com/document/d/1po2hi9r8fGbthx1_VnTXYo3nEs29jNzVGPuI50ubUiQ/view" TargetMode="External"/><Relationship Id="rId234" Type="http://schemas.openxmlformats.org/officeDocument/2006/relationships/hyperlink" Target="https://drive.google.com/file/d/1ULeLuCwtirONuZRBWf4CNyj21bDyVQMk/view?usp=sharing" TargetMode="External"/><Relationship Id="rId355" Type="http://schemas.openxmlformats.org/officeDocument/2006/relationships/hyperlink" Target="https://ddigitalorbit360orangecounty.blogspot.com/2026/03/chateau-marmont-event-photography.html" TargetMode="External"/><Relationship Id="rId476" Type="http://schemas.openxmlformats.org/officeDocument/2006/relationships/hyperlink" Target="https://gifphotoboothrentalorangecounty.blogspot.com/2026/04/the-maybourne-beverly-hills-marketing.html" TargetMode="External"/><Relationship Id="rId112" Type="http://schemas.openxmlformats.org/officeDocument/2006/relationships/hyperlink" Target="https://docs.google.com/document/d/1po2hi9r8fGbthx1_VnTXYo3nEs29jNzVGPuI50ubUiQ/edit?usp=sharing" TargetMode="External"/><Relationship Id="rId233" Type="http://schemas.openxmlformats.org/officeDocument/2006/relationships/hyperlink" Target="https://drive.google.com/file/d/1HOx08dni4CrkBSJAncoozO2mJmZ23qV7/view?usp=sharing" TargetMode="External"/><Relationship Id="rId354" Type="http://schemas.openxmlformats.org/officeDocument/2006/relationships/hyperlink" Target="https://ddigitalorbit360orangecounty.blogspot.com/2026/03/the-maybourne-beverly-hills-marketing.html" TargetMode="External"/><Relationship Id="rId475" Type="http://schemas.openxmlformats.org/officeDocument/2006/relationships/hyperlink" Target="https://gifphotoboothrentalorangecounty.blogspot.com/2026/04/waldorf-astoria-beverly-hills-photo.html" TargetMode="External"/><Relationship Id="rId111" Type="http://schemas.openxmlformats.org/officeDocument/2006/relationships/hyperlink" Target="https://docs.google.com/presentation/d/1bhlo-FHVyvSReZOWoOBvXKWitJaKEbtszC2uOaOXQfI/htmlpresent" TargetMode="External"/><Relationship Id="rId232" Type="http://schemas.openxmlformats.org/officeDocument/2006/relationships/hyperlink" Target="https://drive.google.com/file/d/1z0HhWKeh6pnhjIY_PDZ1wkFQEoSPdeE4/view?usp=sharing" TargetMode="External"/><Relationship Id="rId353" Type="http://schemas.openxmlformats.org/officeDocument/2006/relationships/hyperlink" Target="https://ddigitalorbit360orangecounty.blogspot.com/2026/03/waldorf-astoria-beverly-hills-photo.html" TargetMode="External"/><Relationship Id="rId474" Type="http://schemas.openxmlformats.org/officeDocument/2006/relationships/hyperlink" Target="https://gifphotoboothrentalorangecounty.blogspot.com/2026/04/the-beverly-hills-hotel-event-marketing.html" TargetMode="External"/><Relationship Id="rId305" Type="http://schemas.openxmlformats.org/officeDocument/2006/relationships/hyperlink" Target="https://drive.google.com/file/d/1POnG9W4e8mJGGBQEq3-DZ1qXR_QPJ6Ld/view?usp=sharing" TargetMode="External"/><Relationship Id="rId426" Type="http://schemas.openxmlformats.org/officeDocument/2006/relationships/hyperlink" Target="https://photoboothrentalorangecountyevent.blogspot.com/2026/03/boutique-event-marketing-agency-la.html" TargetMode="External"/><Relationship Id="rId304" Type="http://schemas.openxmlformats.org/officeDocument/2006/relationships/hyperlink" Target="https://drive.google.com/file/d/1pAjV-q5bwNVKJmE9dGrMm197RHsqNL83/view?usp=sharing" TargetMode="External"/><Relationship Id="rId425" Type="http://schemas.openxmlformats.org/officeDocument/2006/relationships/hyperlink" Target="https://photoboothrentalorangecountyevent.blogspot.com/2026/03/luxury-gala-photography-los-angeles.html" TargetMode="External"/><Relationship Id="rId303" Type="http://schemas.openxmlformats.org/officeDocument/2006/relationships/hyperlink" Target="https://drive.google.com/file/d/1nOZP7CrRpdSmYmxV7wHjy18RMBIoMtPg/view?usp=sharing" TargetMode="External"/><Relationship Id="rId424" Type="http://schemas.openxmlformats.org/officeDocument/2006/relationships/hyperlink" Target="https://photoboothrentalorangecountyevent.blogspot.com/2026/03/high-net-worth-photography-services.html" TargetMode="External"/><Relationship Id="rId302" Type="http://schemas.openxmlformats.org/officeDocument/2006/relationships/hyperlink" Target="https://drive.google.com/file/d/16StHDfQacxYDcwyAQjKACWRXh3AIGW6N/view?usp=sharing" TargetMode="External"/><Relationship Id="rId423" Type="http://schemas.openxmlformats.org/officeDocument/2006/relationships/hyperlink" Target="https://photoboothrentalorangecountyevent.blogspot.com/2026/03/hotel-per-la-event-marketing.html" TargetMode="External"/><Relationship Id="rId309" Type="http://schemas.openxmlformats.org/officeDocument/2006/relationships/hyperlink" Target="https://drive.google.com/file/d/1ukttbM8qh05m07i-hQq0nk3CgSL-frcF/view?usp=sharing" TargetMode="External"/><Relationship Id="rId308" Type="http://schemas.openxmlformats.org/officeDocument/2006/relationships/hyperlink" Target="https://drive.google.com/file/d/1PmSC9qcDy-fgg0mXUhNXgeGIYE-1m_H4/view?usp=sharing" TargetMode="External"/><Relationship Id="rId429" Type="http://schemas.openxmlformats.org/officeDocument/2006/relationships/hyperlink" Target="https://photoboothrentalfullerton.blogspot.com/2026/03/the-maybourne-beverly-hills-marketing.html" TargetMode="External"/><Relationship Id="rId307" Type="http://schemas.openxmlformats.org/officeDocument/2006/relationships/hyperlink" Target="https://drive.google.com/file/d/1-HylS_5OfCUpmC9szufhcNysQ-9ovrWG/view?usp=sharing" TargetMode="External"/><Relationship Id="rId428" Type="http://schemas.openxmlformats.org/officeDocument/2006/relationships/hyperlink" Target="https://photoboothrentalfullerton.blogspot.com/2026/03/waldorf-astoria-beverly-hills-photo.html" TargetMode="External"/><Relationship Id="rId306" Type="http://schemas.openxmlformats.org/officeDocument/2006/relationships/hyperlink" Target="https://drive.google.com/file/d/1MHuCeoZe4qree6YzzxPTjNzjn-LG8sp9/view?usp=sharing" TargetMode="External"/><Relationship Id="rId427" Type="http://schemas.openxmlformats.org/officeDocument/2006/relationships/hyperlink" Target="https://photoboothrentalfullerton.blogspot.com/2026/03/the-beverly-hills-hotel-event-marketing.html" TargetMode="External"/><Relationship Id="rId301" Type="http://schemas.openxmlformats.org/officeDocument/2006/relationships/hyperlink" Target="https://drive.google.com/file/d/14i62jMntKx4h4LKQdbyDPmmkQSv1_KZ4/view?usp=sharing" TargetMode="External"/><Relationship Id="rId422" Type="http://schemas.openxmlformats.org/officeDocument/2006/relationships/hyperlink" Target="https://photoboothrentalorangecountyevent.blogspot.com/2026/03/lombardi-house-marketing-photography.html" TargetMode="External"/><Relationship Id="rId300" Type="http://schemas.openxmlformats.org/officeDocument/2006/relationships/hyperlink" Target="https://drive.google.com/file/d/1r4SKY9BT4VEeULuXYlOaEfCG4KzJW_KH/view?usp=sharing" TargetMode="External"/><Relationship Id="rId421" Type="http://schemas.openxmlformats.org/officeDocument/2006/relationships/hyperlink" Target="https://photoboothrentalorangecountyevent.blogspot.com/2026/03/soho-house-west-hollywood-marketing.html" TargetMode="External"/><Relationship Id="rId420" Type="http://schemas.openxmlformats.org/officeDocument/2006/relationships/hyperlink" Target="https://photoboothrentalorangecountyevent.blogspot.com/2026/03/chateau-marmont-event-photography.html" TargetMode="External"/><Relationship Id="rId415" Type="http://schemas.openxmlformats.org/officeDocument/2006/relationships/hyperlink" Target="https://partysnapsphotoboothoc.blogspot.com/2026/03/hotel-per-la-event-marketing.html" TargetMode="External"/><Relationship Id="rId414" Type="http://schemas.openxmlformats.org/officeDocument/2006/relationships/hyperlink" Target="https://partysnapsphotoboothoc.blogspot.com/2026/03/lombardi-house-marketing-photography.html" TargetMode="External"/><Relationship Id="rId413" Type="http://schemas.openxmlformats.org/officeDocument/2006/relationships/hyperlink" Target="https://partysnapsphotoboothoc.blogspot.com/2026/03/pelican-hill-luxury-brand-photo.html" TargetMode="External"/><Relationship Id="rId534" Type="http://schemas.openxmlformats.org/officeDocument/2006/relationships/vmlDrawing" Target="../drawings/vmlDrawing1.vml"/><Relationship Id="rId412" Type="http://schemas.openxmlformats.org/officeDocument/2006/relationships/hyperlink" Target="https://partysnapsphotoboothoc.blogspot.com/2026/03/the-revery-la-event-photography.html" TargetMode="External"/><Relationship Id="rId533" Type="http://schemas.openxmlformats.org/officeDocument/2006/relationships/drawing" Target="../drawings/drawing1.xml"/><Relationship Id="rId419" Type="http://schemas.openxmlformats.org/officeDocument/2006/relationships/hyperlink" Target="https://photoboothrentalorangecountyevent.blogspot.com/2026/03/the-maybourne-beverly-hills-marketing.html" TargetMode="External"/><Relationship Id="rId418" Type="http://schemas.openxmlformats.org/officeDocument/2006/relationships/hyperlink" Target="https://photoboothrentalorangecountyevent.blogspot.com/2026/03/waldorf-astoria-beverly-hills-photo.html" TargetMode="External"/><Relationship Id="rId417" Type="http://schemas.openxmlformats.org/officeDocument/2006/relationships/hyperlink" Target="https://photoboothrentalorangecountyevent.blogspot.com/2026/03/the-beverly-hills-hotel-event-marketing.html" TargetMode="External"/><Relationship Id="rId416" Type="http://schemas.openxmlformats.org/officeDocument/2006/relationships/hyperlink" Target="https://partysnapsphotoboothoc.blogspot.com/2026/03/high-net-worth-photography-services.html" TargetMode="External"/><Relationship Id="rId411" Type="http://schemas.openxmlformats.org/officeDocument/2006/relationships/hyperlink" Target="https://partysnapsphotoboothoc.blogspot.com/2026/03/soho-house-west-hollywood-marketing.html" TargetMode="External"/><Relationship Id="rId532" Type="http://schemas.openxmlformats.org/officeDocument/2006/relationships/hyperlink" Target="https://photoboothrentalincarson.blogspot.com/2026/04/hammer-museum-event-photography.html" TargetMode="External"/><Relationship Id="rId410" Type="http://schemas.openxmlformats.org/officeDocument/2006/relationships/hyperlink" Target="https://partysnapsphotoboothoc.blogspot.com/2026/03/chateau-marmont-event-photography.html" TargetMode="External"/><Relationship Id="rId531" Type="http://schemas.openxmlformats.org/officeDocument/2006/relationships/hyperlink" Target="https://photoboothrentalincarson.blogspot.com/2026/04/the-london-west-hollywood-photography.html" TargetMode="External"/><Relationship Id="rId530" Type="http://schemas.openxmlformats.org/officeDocument/2006/relationships/hyperlink" Target="https://photoboothrentalincarson.blogspot.com/2026/04/greystone-mansion-photo-marketing.html" TargetMode="External"/><Relationship Id="rId206" Type="http://schemas.openxmlformats.org/officeDocument/2006/relationships/hyperlink" Target="https://drive.google.com/file/d/1fY55Wp3s6n-pMRFEkpdTXWAmJ1BYP6fd/view?usp=sharing" TargetMode="External"/><Relationship Id="rId327" Type="http://schemas.openxmlformats.org/officeDocument/2006/relationships/hyperlink" Target="https://drive.google.com/file/d/1qHrdAlmTfobHrojYkgA0bPgWrGBKbsUp/view?usp=sharing" TargetMode="External"/><Relationship Id="rId448" Type="http://schemas.openxmlformats.org/officeDocument/2006/relationships/hyperlink" Target="https://costamesa360photoboothrental.blogspot.com/2026/04/greystone-mansion-photo-marketing.html" TargetMode="External"/><Relationship Id="rId205" Type="http://schemas.openxmlformats.org/officeDocument/2006/relationships/hyperlink" Target="https://drive.google.com/file/d/1DDIDpW0Kh8ZI3pIMJSHea56PqjIL-Gia/view?usp=sharing" TargetMode="External"/><Relationship Id="rId326" Type="http://schemas.openxmlformats.org/officeDocument/2006/relationships/hyperlink" Target="https://drive.google.com/file/d/157qQGTTZP4PtIn9P6ds61KrS6gipjaMK/view?usp=sharing" TargetMode="External"/><Relationship Id="rId447" Type="http://schemas.openxmlformats.org/officeDocument/2006/relationships/hyperlink" Target="https://costamesa360photoboothrental.blogspot.com/2026/04/soho-house-west-hollywood-marketing.html" TargetMode="External"/><Relationship Id="rId204" Type="http://schemas.openxmlformats.org/officeDocument/2006/relationships/hyperlink" Target="https://drive.google.com/file/d/1AvLjDLxZwbkt9qEHch-k-9HV0-dqc-_D/view?usp=sharing" TargetMode="External"/><Relationship Id="rId325" Type="http://schemas.openxmlformats.org/officeDocument/2006/relationships/hyperlink" Target="https://drive.google.com/file/d/1f4Uq7_QkdKMJHDmqmZfj0u2HCOySlSye/view?usp=sharing" TargetMode="External"/><Relationship Id="rId446" Type="http://schemas.openxmlformats.org/officeDocument/2006/relationships/hyperlink" Target="https://costamesa360photoboothrental.blogspot.com/2026/04/chateau-marmont-event-photography.html" TargetMode="External"/><Relationship Id="rId203" Type="http://schemas.openxmlformats.org/officeDocument/2006/relationships/hyperlink" Target="https://drive.google.com/file/d/1fSoOE_S_DZZ3VD49U6BMD4aUzTJ5FSTW/view?usp=sharing" TargetMode="External"/><Relationship Id="rId324" Type="http://schemas.openxmlformats.org/officeDocument/2006/relationships/hyperlink" Target="https://drive.google.com/file/d/1hbX8veO0YZ0AYR-UxTgyqe59bJuERJAA/view?usp=sharing" TargetMode="External"/><Relationship Id="rId445" Type="http://schemas.openxmlformats.org/officeDocument/2006/relationships/hyperlink" Target="https://costamesa360photoboothrental.blogspot.com/2026/04/the-maybourne-beverly-hills-marketing.html" TargetMode="External"/><Relationship Id="rId209" Type="http://schemas.openxmlformats.org/officeDocument/2006/relationships/hyperlink" Target="https://drive.google.com/file/d/1UrZfySCtPWc8x5sK5eTJH01O6FMScHRR/view?usp=sharing" TargetMode="External"/><Relationship Id="rId208" Type="http://schemas.openxmlformats.org/officeDocument/2006/relationships/hyperlink" Target="https://drive.google.com/file/d/1dm_3SazyE5OeMhUXX9W8VzFmzzhqd5Qe/view?usp=sharing" TargetMode="External"/><Relationship Id="rId329" Type="http://schemas.openxmlformats.org/officeDocument/2006/relationships/hyperlink" Target="https://drive.google.com/file/d/1x53uU6BspJal8z74T2iMkfISpI_jha-W/view?usp=sharing" TargetMode="External"/><Relationship Id="rId207" Type="http://schemas.openxmlformats.org/officeDocument/2006/relationships/hyperlink" Target="https://drive.google.com/file/d/11iBbCEm2vr0vjxp_-kJpd3n72kZ61gj3/view?usp=sharing" TargetMode="External"/><Relationship Id="rId328" Type="http://schemas.openxmlformats.org/officeDocument/2006/relationships/hyperlink" Target="https://drive.google.com/file/d/1UE_iUvC12rhteVBlDkdode9xCo-iLDFU/view?usp=sharing" TargetMode="External"/><Relationship Id="rId449" Type="http://schemas.openxmlformats.org/officeDocument/2006/relationships/hyperlink" Target="https://costamesa360photoboothrental.blogspot.com/2026/04/high-net-worth-photography-services.html" TargetMode="External"/><Relationship Id="rId440" Type="http://schemas.openxmlformats.org/officeDocument/2006/relationships/hyperlink" Target="https://360photoboothrentalinorangecounty.blogspot.com/2026/04/premium-visual-brand-strategy.html" TargetMode="External"/><Relationship Id="rId202" Type="http://schemas.openxmlformats.org/officeDocument/2006/relationships/hyperlink" Target="https://drive.google.com/file/d/10UL0ITZBQQmCUvGTLhEu0DoO8TWZSYFe/view?usp=sharing" TargetMode="External"/><Relationship Id="rId323" Type="http://schemas.openxmlformats.org/officeDocument/2006/relationships/hyperlink" Target="https://drive.google.com/file/d/1LzZ3PeyyjQATomzCszRlnHtT0-rSMRoP/view?usp=sharing" TargetMode="External"/><Relationship Id="rId444" Type="http://schemas.openxmlformats.org/officeDocument/2006/relationships/hyperlink" Target="https://costamesa360photoboothrental.blogspot.com/2026/04/waldorf-astoria-beverly-hills-photo.html" TargetMode="External"/><Relationship Id="rId201" Type="http://schemas.openxmlformats.org/officeDocument/2006/relationships/hyperlink" Target="https://drive.google.com/file/d/1VNftyMVyrRrzkujdZb0tbak-RFIxbnPi/view?usp=sharing" TargetMode="External"/><Relationship Id="rId322" Type="http://schemas.openxmlformats.org/officeDocument/2006/relationships/hyperlink" Target="https://drive.google.com/file/d/17d8_8md5c_wL3sbtq5Iws70SR-MDr6si/view?usp=sharing" TargetMode="External"/><Relationship Id="rId443" Type="http://schemas.openxmlformats.org/officeDocument/2006/relationships/hyperlink" Target="https://costamesa360photoboothrental.blogspot.com/2026/04/the-beverly-hills-hotel-event-marketing.html" TargetMode="External"/><Relationship Id="rId200" Type="http://schemas.openxmlformats.org/officeDocument/2006/relationships/hyperlink" Target="https://drive.google.com/file/d/1M9SAjrGKApncouEE0zy3M7tgiySJu2hG/view?usp=sharing" TargetMode="External"/><Relationship Id="rId321" Type="http://schemas.openxmlformats.org/officeDocument/2006/relationships/hyperlink" Target="https://drive.google.com/file/d/1E3dWLqQXdr1xNXaefnig1T2q2SX5CNrU/view?usp=sharing" TargetMode="External"/><Relationship Id="rId442" Type="http://schemas.openxmlformats.org/officeDocument/2006/relationships/hyperlink" Target="https://360photoboothrentalinorangecounty.blogspot.com/2026/04/elite-corporate-event-marketing.html" TargetMode="External"/><Relationship Id="rId320" Type="http://schemas.openxmlformats.org/officeDocument/2006/relationships/hyperlink" Target="https://drive.google.com/file/d/1dJGPaXJ2gjmD_YEPGsd3q-EBgYnBnYjf/view?usp=sharing" TargetMode="External"/><Relationship Id="rId441" Type="http://schemas.openxmlformats.org/officeDocument/2006/relationships/hyperlink" Target="https://360photoboothrentalinorangecounty.blogspot.com/2026/04/private-estate-event-photography.html" TargetMode="External"/><Relationship Id="rId316" Type="http://schemas.openxmlformats.org/officeDocument/2006/relationships/hyperlink" Target="https://drive.google.com/file/d/1Zbkn9b0iujvtJ0cZYM9W4wJUd0f2zp_9/view?usp=sharing" TargetMode="External"/><Relationship Id="rId437" Type="http://schemas.openxmlformats.org/officeDocument/2006/relationships/hyperlink" Target="https://360photoboothrentalinorangecounty.blogspot.com/2026/04/soho-house-west-hollywood-marketing.html" TargetMode="External"/><Relationship Id="rId315" Type="http://schemas.openxmlformats.org/officeDocument/2006/relationships/hyperlink" Target="https://drive.google.com/file/d/1kElSSjmK9GQD7j5aFrfgdcjPHYL7byi2/view?usp=sharing" TargetMode="External"/><Relationship Id="rId436" Type="http://schemas.openxmlformats.org/officeDocument/2006/relationships/hyperlink" Target="https://360photoboothrentalinorangecounty.blogspot.com/2026/04/chateau-marmont-event-photography.html" TargetMode="External"/><Relationship Id="rId314" Type="http://schemas.openxmlformats.org/officeDocument/2006/relationships/hyperlink" Target="https://drive.google.com/file/d/1rr3j7DfZZ8z9u5C-pJB8Rn1wM-g-aWV6/view?usp=sharing" TargetMode="External"/><Relationship Id="rId435" Type="http://schemas.openxmlformats.org/officeDocument/2006/relationships/hyperlink" Target="https://360photoboothrentalinorangecounty.blogspot.com/2026/04/the-maybourne-beverly-hills-marketing.html" TargetMode="External"/><Relationship Id="rId313" Type="http://schemas.openxmlformats.org/officeDocument/2006/relationships/hyperlink" Target="https://drive.google.com/file/d/1V78mhwctkrsHWOOjCZ5bcYM46qA7-XVr/view?usp=sharing" TargetMode="External"/><Relationship Id="rId434" Type="http://schemas.openxmlformats.org/officeDocument/2006/relationships/hyperlink" Target="https://360photoboothrentalinorangecounty.blogspot.com/2026/04/waldorf-astoria-beverly-hills-photo.html" TargetMode="External"/><Relationship Id="rId319" Type="http://schemas.openxmlformats.org/officeDocument/2006/relationships/hyperlink" Target="https://drive.google.com/file/d/1pk1UcyjAMj6kbSr7Xq-iZF4L20Qfj0TM/view?usp=sharing" TargetMode="External"/><Relationship Id="rId318" Type="http://schemas.openxmlformats.org/officeDocument/2006/relationships/hyperlink" Target="https://drive.google.com/file/d/1KOgnzwNyGj1SV2LJVeaviM7Drul9Pwvi/view?usp=sharing" TargetMode="External"/><Relationship Id="rId439" Type="http://schemas.openxmlformats.org/officeDocument/2006/relationships/hyperlink" Target="https://360photoboothrentalinorangecounty.blogspot.com/2026/04/boutique-event-marketing-agency-la.html" TargetMode="External"/><Relationship Id="rId317" Type="http://schemas.openxmlformats.org/officeDocument/2006/relationships/hyperlink" Target="https://drive.google.com/file/d/1xNIA8OfdbHCrA0SQ2QPJWmDZ9tpns9H9/view?usp=sharing" TargetMode="External"/><Relationship Id="rId438" Type="http://schemas.openxmlformats.org/officeDocument/2006/relationships/hyperlink" Target="https://360photoboothrentalinorangecounty.blogspot.com/2026/04/luxury-gala-photography-los-angeles.html" TargetMode="External"/><Relationship Id="rId312" Type="http://schemas.openxmlformats.org/officeDocument/2006/relationships/hyperlink" Target="https://drive.google.com/file/d/1-Q3URQxjXq-gdkVlyLKoIJWN6JwYTHPs/view?usp=sharing" TargetMode="External"/><Relationship Id="rId433" Type="http://schemas.openxmlformats.org/officeDocument/2006/relationships/hyperlink" Target="https://360photoboothrentalinorangecounty.blogspot.com/2026/04/the-beverly-hills-hotel-event-marketing.html" TargetMode="External"/><Relationship Id="rId311" Type="http://schemas.openxmlformats.org/officeDocument/2006/relationships/hyperlink" Target="https://drive.google.com/file/d/1OtmmiWtsfFgROwjAV55Pfofm40hSgX4h/view?usp=sharing" TargetMode="External"/><Relationship Id="rId432" Type="http://schemas.openxmlformats.org/officeDocument/2006/relationships/hyperlink" Target="https://photoboothrentalfullerton.blogspot.com/2026/03/greystone-mansion-photo-marketing.html" TargetMode="External"/><Relationship Id="rId310" Type="http://schemas.openxmlformats.org/officeDocument/2006/relationships/hyperlink" Target="https://drive.google.com/file/d/1IonOPkz7SaN5L1gJnjKVe9BSNQW7lYsl/view?usp=sharing" TargetMode="External"/><Relationship Id="rId431" Type="http://schemas.openxmlformats.org/officeDocument/2006/relationships/hyperlink" Target="https://photoboothrentalfullerton.blogspot.com/2026/03/soho-house-west-hollywood-marketing.html" TargetMode="External"/><Relationship Id="rId430" Type="http://schemas.openxmlformats.org/officeDocument/2006/relationships/hyperlink" Target="https://photoboothrentalfullerton.blogspot.com/2026/03/chateau-marmont-event-photography.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luckyfrogphotos.com/brand-activation-silicon-beach/tech-activation-los-angeles" TargetMode="External"/><Relationship Id="rId2" Type="http://schemas.openxmlformats.org/officeDocument/2006/relationships/hyperlink" Target="https://drive.google.com/drive/folders/1ZhAfZq83RHNjhk-uPAXl20T9Sq2mt6Hg?usp=sharing" TargetMode="External"/><Relationship Id="rId3" Type="http://schemas.openxmlformats.org/officeDocument/2006/relationships/hyperlink" Target="https://drive.google.com/file/d/1X_veMGreiwUGnXFkDv4OwAkCHxQy9faq/view?usp=sharing" TargetMode="External"/><Relationship Id="rId4" Type="http://schemas.openxmlformats.org/officeDocument/2006/relationships/hyperlink" Target="https://drive.google.com/file/d/1qDRezGc6S-GXO1Ums-z58A4tZj8QfUxZ/view?usp=sharing" TargetMode="External"/><Relationship Id="rId9" Type="http://schemas.openxmlformats.org/officeDocument/2006/relationships/hyperlink" Target="https://docs.google.com/document/d/17Kw8mIRmiXWZ4KES51sF4Gt26MpWE54ofJ5LlW-bOA4/view" TargetMode="External"/><Relationship Id="rId5" Type="http://schemas.openxmlformats.org/officeDocument/2006/relationships/hyperlink" Target="https://drive.google.com/file/d/18vt5PhP25M88bGY6XEV72zenEpaSIp1L/view?usp=sharing" TargetMode="External"/><Relationship Id="rId6" Type="http://schemas.openxmlformats.org/officeDocument/2006/relationships/hyperlink" Target="https://docs.google.com/document/d/1a2RSd_zzJSSIuhu6-HK_jFkuxJXSmihqXO2esmI3tRg/edit?usp=sharing" TargetMode="External"/><Relationship Id="rId7" Type="http://schemas.openxmlformats.org/officeDocument/2006/relationships/hyperlink" Target="https://docs.google.com/document/d/1a2RSd_zzJSSIuhu6-HK_jFkuxJXSmihqXO2esmI3tRg/view" TargetMode="External"/><Relationship Id="rId8" Type="http://schemas.openxmlformats.org/officeDocument/2006/relationships/hyperlink" Target="https://docs.google.com/document/d/17Kw8mIRmiXWZ4KES51sF4Gt26MpWE54ofJ5LlW-bOA4/edit?usp=sharing" TargetMode="External"/><Relationship Id="rId20" Type="http://schemas.openxmlformats.org/officeDocument/2006/relationships/hyperlink" Target="https://drive.google.com/file/d/1hlgZVFJ3V3V-ERCUaCNvJw98H_luDtzC/view?usp=sharing" TargetMode="External"/><Relationship Id="rId22" Type="http://schemas.openxmlformats.org/officeDocument/2006/relationships/drawing" Target="../drawings/drawing2.xml"/><Relationship Id="rId21" Type="http://schemas.openxmlformats.org/officeDocument/2006/relationships/hyperlink" Target="https://docs.google.com/document/d/1MKc54RBVYXRZOu8W1gmeBcxcFkp23F8AjO12b79rQZM/edit?usp=sharing" TargetMode="External"/><Relationship Id="rId11" Type="http://schemas.openxmlformats.org/officeDocument/2006/relationships/hyperlink" Target="https://drive.google.com/file/d/1vhRe_DzzVQkmCC_yc_HkqOReUvAlrZMF/view?usp=sharing" TargetMode="External"/><Relationship Id="rId10" Type="http://schemas.openxmlformats.org/officeDocument/2006/relationships/hyperlink" Target="https://docs.google.com/presentation/d/17Wivqszccf4UdDYI50omSGz9dbgLdV54tJs84lMAUoc/edit?usp=sharing" TargetMode="External"/><Relationship Id="rId13" Type="http://schemas.openxmlformats.org/officeDocument/2006/relationships/hyperlink" Target="https://docs.google.com/document/d/1ijsUh2OuZcZQEGltIekt-Vd3ig4q3DQTD3hCwsgSEZc/view" TargetMode="External"/><Relationship Id="rId12" Type="http://schemas.openxmlformats.org/officeDocument/2006/relationships/hyperlink" Target="https://docs.google.com/document/d/1ijsUh2OuZcZQEGltIekt-Vd3ig4q3DQTD3hCwsgSEZc/edit?usp=sharing" TargetMode="External"/><Relationship Id="rId15" Type="http://schemas.openxmlformats.org/officeDocument/2006/relationships/hyperlink" Target="https://docs.google.com/document/d/1oE3Zfitol1b31kZadqvsbg1PeT4wkkaWHx06BMeRqdE/edit?usp=sharing" TargetMode="External"/><Relationship Id="rId14" Type="http://schemas.openxmlformats.org/officeDocument/2006/relationships/hyperlink" Target="https://drive.google.com/file/d/1Pa2ux0PMnrJ7y7fVZuApgm9gZlGrCvkP/view?usp=sharing" TargetMode="External"/><Relationship Id="rId17" Type="http://schemas.openxmlformats.org/officeDocument/2006/relationships/hyperlink" Target="https://drive.google.com/file/d/1Ck6QU1d9DDpRC53UzMW8HtbqWW1KH2o9/view?usp=sharing" TargetMode="External"/><Relationship Id="rId16" Type="http://schemas.openxmlformats.org/officeDocument/2006/relationships/hyperlink" Target="https://docs.google.com/document/d/1oE3Zfitol1b31kZadqvsbg1PeT4wkkaWHx06BMeRqdE/view" TargetMode="External"/><Relationship Id="rId19" Type="http://schemas.openxmlformats.org/officeDocument/2006/relationships/hyperlink" Target="https://docs.google.com/document/d/1cHtB5rpubS-TYcBOqYbRh_PpKJNp5wb_xEYts7PjV-Q/view" TargetMode="External"/><Relationship Id="rId18" Type="http://schemas.openxmlformats.org/officeDocument/2006/relationships/hyperlink" Target="https://docs.google.com/document/d/1cHtB5rpubS-TYcBOqYbRh_PpKJNp5wb_xEYts7PjV-Q/edit?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google.com/calendar/event?eid=cHRtZGE5cjg2bHBxZjM3anIwcDdrNTRnNmsgNDI1YmNhMmMzOWMwZjgxYjgzZGI3MmEwMzMwYzY3MmM3ZDNlYmFkYTljOTg4MGJjNzUyNmI2NjQzMTdmNDY1N0Bncm91cC5jYWxlbmRhci5nb29nbGUuY29t" TargetMode="External"/><Relationship Id="rId2" Type="http://schemas.openxmlformats.org/officeDocument/2006/relationships/hyperlink" Target="https://www.google.com/calendar/event?eid=dnBqc2JibHVsNDdlb3NrMXExcXA4M3IyNzQgNDI1YmNhMmMzOWMwZjgxYjgzZGI3MmEwMzMwYzY3MmM3ZDNlYmFkYTljOTg4MGJjNzUyNmI2NjQzMTdmNDY1N0Bncm91cC5jYWxlbmRhci5nb29nbGUuY29t" TargetMode="External"/><Relationship Id="rId3" Type="http://schemas.openxmlformats.org/officeDocument/2006/relationships/hyperlink" Target="https://www.google.com/calendar/event?eid=YzhicWc3bmRuNThqdnA3YjJjN3RxcGtoNmcgNDI1YmNhMmMzOWMwZjgxYjgzZGI3MmEwMzMwYzY3MmM3ZDNlYmFkYTljOTg4MGJjNzUyNmI2NjQzMTdmNDY1N0Bncm91cC5jYWxlbmRhci5nb29nbGUuY29t" TargetMode="External"/><Relationship Id="rId4" Type="http://schemas.openxmlformats.org/officeDocument/2006/relationships/hyperlink" Target="https://www.google.com/calendar/event?eid=ZWpsMDdranNmNzgzMGk1ZTBzb3BocmRrMzggNDI1YmNhMmMzOWMwZjgxYjgzZGI3MmEwMzMwYzY3MmM3ZDNlYmFkYTljOTg4MGJjNzUyNmI2NjQzMTdmNDY1N0Bncm91cC5jYWxlbmRhci5nb29nbGUuY29t" TargetMode="External"/><Relationship Id="rId9" Type="http://schemas.openxmlformats.org/officeDocument/2006/relationships/hyperlink" Target="https://www.google.com/calendar/event?eid=NWdzMGo0ZG5haTE3bXUwcTh0bG1oYnNqZGsgNDI1YmNhMmMzOWMwZjgxYjgzZGI3MmEwMzMwYzY3MmM3ZDNlYmFkYTljOTg4MGJjNzUyNmI2NjQzMTdmNDY1N0Bncm91cC5jYWxlbmRhci5nb29nbGUuY29t" TargetMode="External"/><Relationship Id="rId5" Type="http://schemas.openxmlformats.org/officeDocument/2006/relationships/hyperlink" Target="https://www.google.com/calendar/event?eid=c3IzaDMzNjk1Z2wxNWI2cms3YnFybHI3bDggNDI1YmNhMmMzOWMwZjgxYjgzZGI3MmEwMzMwYzY3MmM3ZDNlYmFkYTljOTg4MGJjNzUyNmI2NjQzMTdmNDY1N0Bncm91cC5jYWxlbmRhci5nb29nbGUuY29t" TargetMode="External"/><Relationship Id="rId6" Type="http://schemas.openxmlformats.org/officeDocument/2006/relationships/hyperlink" Target="https://www.google.com/calendar/event?eid=YzhvcW4zdDBncThlOTlkdnVhYmpsYm9pZmcgNDI1YmNhMmMzOWMwZjgxYjgzZGI3MmEwMzMwYzY3MmM3ZDNlYmFkYTljOTg4MGJjNzUyNmI2NjQzMTdmNDY1N0Bncm91cC5jYWxlbmRhci5nb29nbGUuY29t" TargetMode="External"/><Relationship Id="rId7" Type="http://schemas.openxmlformats.org/officeDocument/2006/relationships/hyperlink" Target="https://www.google.com/calendar/event?eid=ZjFrb2plaTJsODY0MXVnNmZhMmwwbWNwMjAgNDI1YmNhMmMzOWMwZjgxYjgzZGI3MmEwMzMwYzY3MmM3ZDNlYmFkYTljOTg4MGJjNzUyNmI2NjQzMTdmNDY1N0Bncm91cC5jYWxlbmRhci5nb29nbGUuY29t" TargetMode="External"/><Relationship Id="rId8" Type="http://schemas.openxmlformats.org/officeDocument/2006/relationships/hyperlink" Target="https://www.google.com/calendar/event?eid=Y3BvNzJsMWcwODdiMTI4YTBtamI2ajcxZWsgNDI1YmNhMmMzOWMwZjgxYjgzZGI3MmEwMzMwYzY3MmM3ZDNlYmFkYTljOTg4MGJjNzUyNmI2NjQzMTdmNDY1N0Bncm91cC5jYWxlbmRhci5nb29nbGUuY29t" TargetMode="External"/><Relationship Id="rId11" Type="http://schemas.openxmlformats.org/officeDocument/2006/relationships/hyperlink" Target="https://www.google.com/calendar/event?eid=YzdvMDl0MnNuMG1yZWtvYzR0cHBmbGdoaWMgNDI1YmNhMmMzOWMwZjgxYjgzZGI3MmEwMzMwYzY3MmM3ZDNlYmFkYTljOTg4MGJjNzUyNmI2NjQzMTdmNDY1N0Bncm91cC5jYWxlbmRhci5nb29nbGUuY29t" TargetMode="External"/><Relationship Id="rId10" Type="http://schemas.openxmlformats.org/officeDocument/2006/relationships/hyperlink" Target="https://www.google.com/calendar/event?eid=YnUyZDk2OG1xdmYwYTJpNjVsN25wMWozdmsgNDI1YmNhMmMzOWMwZjgxYjgzZGI3MmEwMzMwYzY3MmM3ZDNlYmFkYTljOTg4MGJjNzUyNmI2NjQzMTdmNDY1N0Bncm91cC5jYWxlbmRhci5nb29nbGUuY29t" TargetMode="External"/><Relationship Id="rId13" Type="http://schemas.openxmlformats.org/officeDocument/2006/relationships/hyperlink" Target="https://www.google.com/calendar/event?eid=bnBhODdsMG01bXVzM3BhN2c0YTcwNnBlYWcgNDI1YmNhMmMzOWMwZjgxYjgzZGI3MmEwMzMwYzY3MmM3ZDNlYmFkYTljOTg4MGJjNzUyNmI2NjQzMTdmNDY1N0Bncm91cC5jYWxlbmRhci5nb29nbGUuY29t" TargetMode="External"/><Relationship Id="rId12" Type="http://schemas.openxmlformats.org/officeDocument/2006/relationships/hyperlink" Target="https://www.google.com/calendar/event?eid=cnI5Ym1idXFyZmMxdGR0MWRsMzZrbWttZmsgNDI1YmNhMmMzOWMwZjgxYjgzZGI3MmEwMzMwYzY3MmM3ZDNlYmFkYTljOTg4MGJjNzUyNmI2NjQzMTdmNDY1N0Bncm91cC5jYWxlbmRhci5nb29nbGUuY29t"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ews.google.com/rss/search?q=photobooth" TargetMode="External"/><Relationship Id="rId2" Type="http://schemas.openxmlformats.org/officeDocument/2006/relationships/hyperlink" Target="https://news.google.com/rss/articles/CBMilAFBVV95cUxQaS03Z2NBZDZDQ2ZhU3lWcEw4VVdheGxJcXh5YzJrMHl3WWs0WjFwX21ZdEZBbHhiRjhsRmRuMFJIejJfd0pkR3hZVVdGc1p6MERMNUhveFMyTEF6OEdtR0F0ZEdwNnRiUFN3Y2hOaWQtQWZJLWpKeTRxT2hRTTI0eWcwUkFLRlFrbTk1b3hpTzBuSnFV?oc=5" TargetMode="External"/><Relationship Id="rId3" Type="http://schemas.openxmlformats.org/officeDocument/2006/relationships/hyperlink" Target="https://news.google.com/rss/articles/CBMiSEFVX3lxTE5GQTBCcmNJd0lETXRYR0M0NWVnUjBBUDVoeGZacExTcU5tMkFtQ0s1eFVCY1kzRU9FeFdKUWFoTjFpY2VwSDZKYw?oc=5" TargetMode="External"/><Relationship Id="rId4" Type="http://schemas.openxmlformats.org/officeDocument/2006/relationships/hyperlink" Target="https://news.google.com/rss/articles/CBMingFBVV95cUxQSDhNRjlZYTZtNGNla0JGVHA0RmhJY1d1YW9UTWhEN01fY05ES004bjJlaHV4ZVlwSU1OSVJ4ZTZKcGVIWlplbkxyMGJ1WGI4elh1VmRpQnJ6LWYyUWJaSlZLQV9xYWxiUkN4NFRCcWJLN1BqeUZXZWNFZ2d4dURvN1piWlo5TkNaWFFJS0ZDdlZSYl9YR3Z6SDd4cmV2dw?oc=5" TargetMode="External"/><Relationship Id="rId9" Type="http://schemas.openxmlformats.org/officeDocument/2006/relationships/hyperlink" Target="https://news.google.com/rss/articles/CBMipwFBVV95cUxQMWdIZFYwT3RXOGY0OVhTZzROUFdsb04zSU5GRksyMDI4RDFmWE1WU2VoUXh5WkwyQ2lTUVFleWpNXy1TYTJaMzN3Y1R3cG83UVZyYlN6TE4waElCTFk0UWRoS3JmN01ZQU5MeEVvSUp1UDd5Ni02NkFHSGNoUm8wWVhxNlR5Zlkzb3BuVGFCeUg4d1QtckdCWXJVRlk5aHJHMVlyeHNpVQ?oc=5" TargetMode="External"/><Relationship Id="rId5" Type="http://schemas.openxmlformats.org/officeDocument/2006/relationships/hyperlink" Target="https://news.google.com/rss/articles/CBMilgFBVV95cUxNV3Zma01Bb0pjUmR0UjhGZkxvRVNQZUFmY1Foa0RCZUVuSTA3YUdtaVBNTVJRQUpXU1B1a3FUQ0dWN2hjSFRVcFhUSmpqQ3B5QkJaOFJmUnhuQzlPT2FUUFlzeXF1OFNWUVRJaFA3c1htdE5sTThnR25ScVB0Q0RwOFlFNFpRejZXblF5MWVWeldJeThpR3c?oc=5" TargetMode="External"/><Relationship Id="rId6" Type="http://schemas.openxmlformats.org/officeDocument/2006/relationships/hyperlink" Target="https://news.google.com/rss/articles/CBMilwFBVV95cUxPZlRpN2NDV21lN244TFQzTVVGYi03M2ZYYWxZSG43NkR2WC1CU2FiUkkyVElNNzd5SlpMLVJDZXZiT28wNzc2ampOeDZZTzZEY2hpdFRudVo2WDdpVDk1WDBpT3I0dnViMXRTQ2lSRTNJb3hlSnZfMDRiQ2NHZlAtOUM4Mk81a2dFM1M0R29VdW51MEdaRFN3?oc=5" TargetMode="External"/><Relationship Id="rId7" Type="http://schemas.openxmlformats.org/officeDocument/2006/relationships/hyperlink" Target="https://news.google.com/rss/articles/CBMi2wJBVV95cUxQVVVCN0FJMkx3SURNN3owalFHMEhSa1E2LWh3ZGFucmJFaTE4TklKcFZaWlJhQUF0U0NHSUlHdTNxR1BXV25ySm83Z2VTaTFNSTVHbHdOTlVkdklaY3J6cUJ3TFh6T1pLLVRybjV0cU8yRWhlQ181Uk1yWkNrVnlaTTQwTWRlZHIwbHNaZEkyQmZlenNzc0xaXzdSMDROcGpPQV9IaXFxeHFWTXlTWU9mTHpQV3doNy0zMFRQLVhCUmJYN09NRkd0bmRtRlV5RFItci1hck5HY0phdG5aWW9WamJCZGJlWUF4c01udXdoRzlrazE0UTBTNTVqRHNodjFJVFJpeGNsWktOSjNBMXUzZ3pfU3k2SU51Ym5LeEVSbjFIMmZCQnZRNmhHelVqaVdZOHJyUTNXZ2tKWU5NRk51bm5WSzVpZ01BZG5ZNXNwNldwbnUtSFZyRWR4dw?oc=5" TargetMode="External"/><Relationship Id="rId8" Type="http://schemas.openxmlformats.org/officeDocument/2006/relationships/hyperlink" Target="https://news.google.com/rss/articles/CBMimgFBVV95cUxQeXB0UGFYQ25hcWtuTGdmYzNSWS1HdHlVQzlaMDZqVUw0bVJDZnNWeko3alMyVzVONXBJTVM1Mzd0cFItZjM3YW5GS3FkNW5rVEg0cjRoSE9qYmtLZ1R3Z3p2VXBEOFVTcHRXSnptcW5IS1ZFMnNydEdYZC1ub3U2SWRsNnVGSE9XMngzOTZsbTJLX2xRTUdqT1JR?oc=5" TargetMode="External"/><Relationship Id="rId20" Type="http://schemas.openxmlformats.org/officeDocument/2006/relationships/hyperlink" Target="https://news.google.com/rss/articles/CBMimgFBVV95cUxQclh4VEUxNkVDSHlTaEJFVS1YTkJvTENPT1B3dnpLaTZYS1RMaVI0eTJvZ3NEOFBtbzdBRk9SSzNSbXRaQWlsYUctNU5rY2Nka25hUk5mVUVCbU1GMmJ6UER6cGdCY1BIcDM5ZnpSaDJCOWVLWFpmMUVRZVVVSllQSl9URkdCTlV1YXR0bS1MZWR5QXBqcEstbUp3?oc=5" TargetMode="External"/><Relationship Id="rId21" Type="http://schemas.openxmlformats.org/officeDocument/2006/relationships/drawing" Target="../drawings/drawing5.xml"/><Relationship Id="rId11" Type="http://schemas.openxmlformats.org/officeDocument/2006/relationships/hyperlink" Target="https://news.google.com/rss/articles/CBMi3AFBVV95cUxQR2t2VDV5bXFCRVVCZy1UVllOUHFOSTl3R0h3VWRLaHN3Y3JHRU5xYXg1ZFJaWEZyYVRrdFVqV3Rfa2ZQX1JRY01Gdm1jdXd1ZHllQ1VIV1NtRkVDblRfTEJjSm54dUpzYzB6R2U1N2dsV1VfSjdkMjloMnhSWEFRNlhOVm5QdDlHekpzYmhkbjFtTlpqQnZGdVViWUxsLXZlc2J0c2RrWGRjcmdpYzZSTTBqc3ZLWUQxekFDVXVVcUxqME5wV3Y4Rl9xcXdLNVpEbk5iR2UzV0xWdTA2?oc=5" TargetMode="External"/><Relationship Id="rId10" Type="http://schemas.openxmlformats.org/officeDocument/2006/relationships/hyperlink" Target="https://news.google.com/rss/articles/CBMirwFBVV95cUxNLVRyVWo2aVROa0R5YzhSN255QjRZaWNHUnBoTGJLTWtSTmxjc3NYNGg3LXhQNTNnU1lVZ1RfdklNb1pNVkFYUWVPZ21EcjFoWXJTV3RmYTFXV2g3MEFVeU85RmVRdjdFWmxieGRVUkJad0pSZE5ONHgzMDdSUUwwWklHQWdqUHo3NG8tYmxEa01QZkszeWlSWWY4V0RxSFB2Mzk2dVlQTWlvd3Fpek1F?oc=5" TargetMode="External"/><Relationship Id="rId13" Type="http://schemas.openxmlformats.org/officeDocument/2006/relationships/hyperlink" Target="https://news.google.com/rss/articles/CBMikgFBVV95cUxOZ2VwNU9KOFAwemd6SldXZThOeERMblppR0twcFN0Snc2anVZMDllR1ZQV1BTV3kwNk9zQjEwZFJwa2h3dEZudzZKYlNuSkhyV1FGZ2lBOVZzNzV3RXozSVNHeGNCdDd4eTJRVUN4MVBRZ2JtVTFqemgtemNqUDFOQjFLY0IwTHpsaU03d1FaanFIQQ?oc=5" TargetMode="External"/><Relationship Id="rId12" Type="http://schemas.openxmlformats.org/officeDocument/2006/relationships/hyperlink" Target="https://news.google.com/rss/articles/CBMikwFBVV95cUxPaXdQQnMyazBZYnc3SWo4NUp3ZEZWRERRTE9fSFNqRF9VQTdPYm10dnpyekNjNVByVDdxd0VYNGJLUDllSXNyd0tGV21DaDZBQmY5MFZ5ajZuYzlqdmVnMDNySHZhZ3htUHA4OGlQdlJmYUh4bXNSbkpVTnBMUTVGSkdNUjM3V1R3XzY4Zl84NnJBaUE?oc=5" TargetMode="External"/><Relationship Id="rId15" Type="http://schemas.openxmlformats.org/officeDocument/2006/relationships/hyperlink" Target="https://news.google.com/rss/articles/CBMimwFBVV95cUxOcWhqOVVqODNSNWlOYkRpbmtzZk1VOUNzV3FfRm8zTVJUdTYwNVBBRUN4S3d3UG9tZC0xNlFqVVRyZFhoOU4tel95XzRHcFBCc002S0hRa0tYYVlRX0c1d0VUM0JZd1FWSmhhVk1LWFpQdW1BM1FFTGdseWlGYlZnQldfMXYyc2FZQzVCOWNiTWJFa29MamNKaTlzYw?oc=5" TargetMode="External"/><Relationship Id="rId14" Type="http://schemas.openxmlformats.org/officeDocument/2006/relationships/hyperlink" Target="https://news.google.com/rss/articles/CBMimgFBVV95cUxQNUlBc0tfT3lYQ2FGWmNrbkFic3NiSDJaQ21QRV93R2U3aXZBNDIzQTR1UGk3QWM2ZG5jSlkwLVBpeEk3d2o2cTVpdnFEcVRmM3lFaUZCcVpZejh6LWR4S2M2blFFbjJtZUNRNUUwYnA4a3VzRUdYX2I2YjQxcHpIZTZId2pHWVE0RTRKbXRWRHpqc1dOMDhuMzNn?oc=5" TargetMode="External"/><Relationship Id="rId17" Type="http://schemas.openxmlformats.org/officeDocument/2006/relationships/hyperlink" Target="https://news.google.com/rss/articles/CBMilAFBVV95cUxNOTJrR1JXSld0ZlBMc3BPQ1ZJX0ZaSExFTHRKUnlkRnV5YVZkQmNEWlc2U2VFRXpQR0ZFd09kSlZqdk51T1VjV1JPcnlQN3hSOXJVRW5DREhhT1FUVm4wdUw5VWFXRlZ2SGZQdzhYMVAzbXQySU5iVlAzUVR5UV90eXhzektIWE1GS3dwZENxcjY4YkFH?oc=5" TargetMode="External"/><Relationship Id="rId16" Type="http://schemas.openxmlformats.org/officeDocument/2006/relationships/hyperlink" Target="https://news.google.com/rss/articles/CBMiZkFVX3lxTE9Ldmhmc2JTNXpMOVFtTGdrUzZZRkw0SFd0TUF4cmVBNUhIRElwZ3ZSU2Q5OVp5Vklmak9EaGFFb0NrSmt6aE12enpaajVjcnFpc0FPNnFkRVZ6X0lMZ3lwRkdOa1pEQQ?oc=5" TargetMode="External"/><Relationship Id="rId19" Type="http://schemas.openxmlformats.org/officeDocument/2006/relationships/hyperlink" Target="https://news.google.com/rss/articles/CBMilAFBVV95cUxNLXVzZGt6cjVyYkRmWWdZenJ1dUxKZHlSMVpxaFJmcl9BcHBuX3gzazN4Uk1qM0VEandwLVB6VjAzSmkwUW54NUxhNUFRNFR1ekJCOWgtdU8tUTlBd3I2M2YzX3RZZzVlTHpaN1ItRHJLOXNSNkxuWDV3ekQ2aVZWcGRkZW1KbGl2TEJuLVVWbjVGODdn?oc=5" TargetMode="External"/><Relationship Id="rId18" Type="http://schemas.openxmlformats.org/officeDocument/2006/relationships/hyperlink" Target="https://news.google.com/rss/articles/CBMiWkFVX3lxTE1GWHJRY3JLaEJWWnlfQnNaMHE1WFhBZy1paWdGd2JrMGRjTzRfb1V6ZGMyeDI0ZU1CVkZ6WXI4LTJ6NFRBMEc0UmVicHRncnZSWFJIbnFPRWlQUQ?oc=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88"/>
  </cols>
  <sheetData>
    <row r="1" ht="112.5" customHeight="1">
      <c r="A1" s="1" t="s">
        <v>0</v>
      </c>
      <c r="B1" s="1" t="s">
        <v>1</v>
      </c>
      <c r="C1" s="2" t="str">
        <f>HYPERLINK("https://sites.google.com/luckyfrogphotos.com/brand-activation-silicon-beach/tech-activation-los-angeles", IMAGE("https://api.qrserver.com/v1/create-qr-code/?size=150x150&amp;data=https://sites.google.com/luckyfrogphotos.com/brand-activation-silicon-beach/tech-activation-los-angeles",1))</f>
        <v/>
      </c>
      <c r="D1" s="3" t="s">
        <v>2</v>
      </c>
      <c r="E1" s="2" t="str">
        <f>HYPERLINK("https://sites.google.com/luckyfrogphotos.com/brand-activation-silicon-beach/tech-activation-los-angeles","The Beverly Hills Hotel Event Marketing")</f>
        <v>The Beverly Hills Hotel Event Marketing</v>
      </c>
    </row>
    <row r="2" ht="112.5" customHeight="1">
      <c r="A2" s="1" t="s">
        <v>3</v>
      </c>
      <c r="B2" s="1" t="s">
        <v>1</v>
      </c>
      <c r="C2" s="2" t="str">
        <f>HYPERLINK("https://drive.google.com/drive/folders/1V0uy7wgFoIyogwpxX6VGfSe-ix1AwZDk?usp=sharing", IMAGE("https://api.qrserver.com/v1/create-qr-code/?size=150x150&amp;data=https://drive.google.com/drive/folders/1V0uy7wgFoIyogwpxX6VGfSe-ix1AwZDk?usp=sharing",1))</f>
        <v/>
      </c>
      <c r="D2" s="3" t="s">
        <v>4</v>
      </c>
      <c r="E2" s="2" t="str">
        <f>HYPERLINK("https://drive.google.com/drive/folders/1V0uy7wgFoIyogwpxX6VGfSe-ix1AwZDk?usp=sharing","The Beverly Hills Hotel Event Marketing")</f>
        <v>The Beverly Hills Hotel Event Marketing</v>
      </c>
    </row>
    <row r="3" ht="112.5" customHeight="1">
      <c r="A3" s="1" t="s">
        <v>5</v>
      </c>
      <c r="B3" s="1" t="s">
        <v>1</v>
      </c>
      <c r="C3" s="2" t="str">
        <f>HYPERLINK("https://news.google.com/rss/search?q=photobooth", IMAGE("https://api.qrserver.com/v1/create-qr-code/?size=150x150&amp;data=https://news.google.com/rss/search?q=photobooth",1))</f>
        <v/>
      </c>
      <c r="D3" s="3" t="s">
        <v>6</v>
      </c>
      <c r="E3" s="2" t="str">
        <f>HYPERLINK("https://news.google.com/rss/search?q=photobooth","The Beverly Hills Hotel Event Marketing")</f>
        <v>The Beverly Hills Hotel Event Marketing</v>
      </c>
    </row>
    <row r="4" ht="112.5" customHeight="1">
      <c r="A4" s="1" t="s">
        <v>7</v>
      </c>
      <c r="B4" s="1" t="s">
        <v>8</v>
      </c>
      <c r="C4" s="2" t="str">
        <f>HYPERLINK("https://drive.google.com/drive/folders/1wV47u9eGA9lzu0Ttr32cFU_VGhpxnz7-?usp=sharing", IMAGE("https://api.qrserver.com/v1/create-qr-code/?size=150x150&amp;data=https://drive.google.com/drive/folders/1wV47u9eGA9lzu0Ttr32cFU_VGhpxnz7-?usp=sharing",1))</f>
        <v/>
      </c>
      <c r="D4" s="3" t="s">
        <v>9</v>
      </c>
      <c r="E4" s="2" t="str">
        <f>HYPERLINK("https://drive.google.com/drive/folders/1wV47u9eGA9lzu0Ttr32cFU_VGhpxnz7-?usp=sharing","The Beverly Hills Hotel Event Marketing Articles")</f>
        <v>The Beverly Hills Hotel Event Marketing Articles</v>
      </c>
    </row>
    <row r="5" ht="112.5" customHeight="1">
      <c r="A5" s="1" t="s">
        <v>10</v>
      </c>
      <c r="B5" s="1" t="s">
        <v>11</v>
      </c>
      <c r="C5" s="2" t="str">
        <f>HYPERLINK("https://drive.google.com/drive/folders/1CVXD8Jq21WruVp3unel8gg4uW7r0ZANx?usp=sharing", IMAGE("https://api.qrserver.com/v1/create-qr-code/?size=150x150&amp;data=https://drive.google.com/drive/folders/1CVXD8Jq21WruVp3unel8gg4uW7r0ZANx?usp=sharing",1))</f>
        <v/>
      </c>
      <c r="D5" s="3" t="s">
        <v>12</v>
      </c>
      <c r="E5" s="2" t="str">
        <f>HYPERLINK("https://drive.google.com/drive/folders/1CVXD8Jq21WruVp3unel8gg4uW7r0ZANx?usp=sharing","The Beverly Hills Hotel Event Marketing Photos")</f>
        <v>The Beverly Hills Hotel Event Marketing Photos</v>
      </c>
    </row>
    <row r="6" ht="112.5" customHeight="1">
      <c r="A6" s="1" t="s">
        <v>13</v>
      </c>
      <c r="B6" s="1" t="s">
        <v>14</v>
      </c>
      <c r="C6" s="2" t="str">
        <f>HYPERLINK("https://drive.google.com/drive/folders/1zdfAACdfwWL0LloSopCytBC6QM4-QcSn?usp=sharing", IMAGE("https://api.qrserver.com/v1/create-qr-code/?size=150x150&amp;data=https://drive.google.com/drive/folders/1zdfAACdfwWL0LloSopCytBC6QM4-QcSn?usp=sharing",1))</f>
        <v/>
      </c>
      <c r="D6" s="3" t="s">
        <v>15</v>
      </c>
      <c r="E6" s="2" t="str">
        <f>HYPERLINK("https://drive.google.com/drive/folders/1zdfAACdfwWL0LloSopCytBC6QM4-QcSn?usp=sharing","The Beverly Hills Hotel Event Marketing PDFs")</f>
        <v>The Beverly Hills Hotel Event Marketing PDFs</v>
      </c>
    </row>
    <row r="7" ht="112.5" customHeight="1">
      <c r="A7" s="1" t="s">
        <v>16</v>
      </c>
      <c r="B7" s="1" t="s">
        <v>17</v>
      </c>
      <c r="C7" s="2" t="str">
        <f>HYPERLINK("https://drive.google.com/drive/folders/1F--GHqxMcoyF3C4q2T5cpnZVK27cTzk5?usp=sharing", IMAGE("https://api.qrserver.com/v1/create-qr-code/?size=150x150&amp;data=https://drive.google.com/drive/folders/1F--GHqxMcoyF3C4q2T5cpnZVK27cTzk5?usp=sharing",1))</f>
        <v/>
      </c>
      <c r="D7" s="3" t="s">
        <v>18</v>
      </c>
      <c r="E7" s="2" t="str">
        <f>HYPERLINK("https://drive.google.com/drive/folders/1F--GHqxMcoyF3C4q2T5cpnZVK27cTzk5?usp=sharing","The Beverly Hills Hotel Event Marketing Slides")</f>
        <v>The Beverly Hills Hotel Event Marketing Slides</v>
      </c>
    </row>
    <row r="8" ht="112.5" customHeight="1">
      <c r="A8" s="1" t="s">
        <v>19</v>
      </c>
      <c r="B8" s="1" t="s">
        <v>1</v>
      </c>
      <c r="C8" s="2" t="str">
        <f>HYPERLINK("https://drive.google.com/file/d/1vOOZNTuVelT3hJknH2TwT7pDxoq-_vxT/view?usp=sharing", IMAGE("https://api.qrserver.com/v1/create-qr-code/?size=150x150&amp;data=https://drive.google.com/file/d/1vOOZNTuVelT3hJknH2TwT7pDxoq-_vxT/view?usp=sharing",1))</f>
        <v/>
      </c>
      <c r="D8" s="3" t="s">
        <v>20</v>
      </c>
      <c r="E8" s="2" t="str">
        <f>HYPERLINK("https://drive.google.com/file/d/1vOOZNTuVelT3hJknH2TwT7pDxoq-_vxT/view?usp=sharing","The Beverly Hills Hotel Event Marketing")</f>
        <v>The Beverly Hills Hotel Event Marketing</v>
      </c>
    </row>
    <row r="9" ht="112.5" customHeight="1">
      <c r="A9" s="1" t="s">
        <v>19</v>
      </c>
      <c r="B9" s="1" t="s">
        <v>1</v>
      </c>
      <c r="C9" s="2" t="str">
        <f>HYPERLINK("https://drive.google.com/file/d/1vlBfbcfKonCpshhPIaw04sNOKvV3Bjni/view?usp=sharing", IMAGE("https://api.qrserver.com/v1/create-qr-code/?size=150x150&amp;data=https://drive.google.com/file/d/1vlBfbcfKonCpshhPIaw04sNOKvV3Bjni/view?usp=sharing",1))</f>
        <v/>
      </c>
      <c r="D9" s="3" t="s">
        <v>21</v>
      </c>
      <c r="E9" s="2" t="str">
        <f>HYPERLINK("https://drive.google.com/file/d/1vlBfbcfKonCpshhPIaw04sNOKvV3Bjni/view?usp=sharing","The Beverly Hills Hotel Event Marketing")</f>
        <v>The Beverly Hills Hotel Event Marketing</v>
      </c>
    </row>
    <row r="10" ht="112.5" customHeight="1">
      <c r="A10" s="1" t="s">
        <v>22</v>
      </c>
      <c r="B10" s="1" t="s">
        <v>1</v>
      </c>
      <c r="C10" s="2" t="str">
        <f>HYPERLINK("https://docs.google.com/spreadsheets/d/1FR8mAHuzSpYw2w8x9c_-Om4hSJtsUgK2gmHDXtFQ_-8/edit?usp=sharing", IMAGE("https://api.qrserver.com/v1/create-qr-code/?size=150x150&amp;data=https://docs.google.com/spreadsheets/d/1FR8mAHuzSpYw2w8x9c_-Om4hSJtsUgK2gmHDXtFQ_-8/edit?usp=sharing",1))</f>
        <v/>
      </c>
      <c r="D10" s="3" t="s">
        <v>23</v>
      </c>
      <c r="E10" s="2" t="str">
        <f t="shared" ref="E10:E11" si="1">HYPERLINK("https://docs.google.com/spreadsheets/d/1FR8mAHuzSpYw2w8x9c_-Om4hSJtsUgK2gmHDXtFQ_-8/edit?usp=sharing","The Beverly Hills Hotel Event Marketing")</f>
        <v>The Beverly Hills Hotel Event Marketing</v>
      </c>
    </row>
    <row r="11" ht="112.5" customHeight="1">
      <c r="A11" s="1" t="s">
        <v>24</v>
      </c>
      <c r="B11" s="1" t="s">
        <v>25</v>
      </c>
      <c r="C11" s="2" t="str">
        <f>HYPERLINK("https://docs.google.com/spreadsheets/d/1FR8mAHuzSpYw2w8x9c_-Om4hSJtsUgK2gmHDXtFQ_-8/view", IMAGE("https://api.qrserver.com/v1/create-qr-code/?size=150x150&amp;data=https://docs.google.com/spreadsheets/d/1FR8mAHuzSpYw2w8x9c_-Om4hSJtsUgK2gmHDXtFQ_-8/view",1))</f>
        <v/>
      </c>
      <c r="D11" s="3" t="s">
        <v>26</v>
      </c>
      <c r="E11" s="2" t="str">
        <f t="shared" si="1"/>
        <v>The Beverly Hills Hotel Event Marketing</v>
      </c>
    </row>
    <row r="12" ht="112.5" customHeight="1">
      <c r="A12" s="1" t="s">
        <v>27</v>
      </c>
      <c r="B12" s="1" t="s">
        <v>1</v>
      </c>
      <c r="C12" s="2" t="str">
        <f>HYPERLINK("https://docs.google.com/forms/d/1rxIWZTdIK8bvqre67AQNp7JtaxAL57OaIj0OK4DPRjA/edit?usp=sharing", IMAGE("https://api.qrserver.com/v1/create-qr-code/?size=150x150&amp;data=https://docs.google.com/forms/d/1rxIWZTdIK8bvqre67AQNp7JtaxAL57OaIj0OK4DPRjA/edit?usp=sharing",1))</f>
        <v/>
      </c>
      <c r="D12" s="3" t="s">
        <v>28</v>
      </c>
      <c r="E12" s="2" t="str">
        <f>HYPERLINK("https://docs.google.com/forms/d/1rxIWZTdIK8bvqre67AQNp7JtaxAL57OaIj0OK4DPRjA/edit?usp=sharing","The Beverly Hills Hotel Event Marketing")</f>
        <v>The Beverly Hills Hotel Event Marketing</v>
      </c>
    </row>
    <row r="13" ht="112.5" customHeight="1">
      <c r="A13" s="1" t="s">
        <v>29</v>
      </c>
      <c r="B13" s="1" t="s">
        <v>1</v>
      </c>
      <c r="C13" s="2" t="str">
        <f>HYPERLINK("https://docs.google.com/drawings/d/1nStXElJT6kGPgdrpgFbRgqnQP_337lftwZ-c4ZeP_t4/edit?usp=sharing", IMAGE("https://api.qrserver.com/v1/create-qr-code/?size=150x150&amp;data=https://docs.google.com/drawings/d/1nStXElJT6kGPgdrpgFbRgqnQP_337lftwZ-c4ZeP_t4/edit?usp=sharing",1))</f>
        <v/>
      </c>
      <c r="D13" s="3" t="s">
        <v>30</v>
      </c>
      <c r="E13" s="2" t="str">
        <f>HYPERLINK("https://docs.google.com/drawings/d/1nStXElJT6kGPgdrpgFbRgqnQP_337lftwZ-c4ZeP_t4/edit?usp=sharing","The Beverly Hills Hotel Event Marketing")</f>
        <v>The Beverly Hills Hotel Event Marketing</v>
      </c>
    </row>
    <row r="14" ht="112.5" customHeight="1">
      <c r="A14" s="1" t="s">
        <v>31</v>
      </c>
      <c r="B14" s="1" t="s">
        <v>1</v>
      </c>
      <c r="C14" s="2" t="str">
        <f>HYPERLINK("https://docs.google.com/document/d/11YtELvbTGA-SUK76Wh8rLArWYylNL2auxNbYsCAt5l0/edit?usp=sharing", IMAGE("https://api.qrserver.com/v1/create-qr-code/?size=150x150&amp;data=https://docs.google.com/document/d/11YtELvbTGA-SUK76Wh8rLArWYylNL2auxNbYsCAt5l0/edit?usp=sharing",1))</f>
        <v/>
      </c>
      <c r="D14" s="3" t="s">
        <v>32</v>
      </c>
      <c r="E14" s="2" t="str">
        <f t="shared" ref="E14:E15" si="2">HYPERLINK("https://docs.google.com/document/d/11YtELvbTGA-SUK76Wh8rLArWYylNL2auxNbYsCAt5l0/edit?usp=sharing","The Beverly Hills Hotel Event Marketing")</f>
        <v>The Beverly Hills Hotel Event Marketing</v>
      </c>
    </row>
    <row r="15" ht="112.5" customHeight="1">
      <c r="A15" s="1" t="s">
        <v>33</v>
      </c>
      <c r="B15" s="1" t="s">
        <v>34</v>
      </c>
      <c r="C15" s="2" t="str">
        <f>HYPERLINK("https://docs.google.com/document/d/11YtELvbTGA-SUK76Wh8rLArWYylNL2auxNbYsCAt5l0/view", IMAGE("https://api.qrserver.com/v1/create-qr-code/?size=150x150&amp;data=https://docs.google.com/document/d/11YtELvbTGA-SUK76Wh8rLArWYylNL2auxNbYsCAt5l0/view",1))</f>
        <v/>
      </c>
      <c r="D15" s="3" t="s">
        <v>35</v>
      </c>
      <c r="E15" s="2" t="str">
        <f t="shared" si="2"/>
        <v>The Beverly Hills Hotel Event Marketing</v>
      </c>
    </row>
    <row r="16" ht="112.5" customHeight="1">
      <c r="A16" s="1" t="s">
        <v>36</v>
      </c>
      <c r="B16" s="1" t="s">
        <v>1</v>
      </c>
      <c r="C16" s="2" t="str">
        <f>HYPERLINK("https://docs.google.com/presentation/d/1zixMLgT_-DAbZt4TV9PHXbBP9yJz2QvuiQBroElOLPU/edit?usp=sharing", IMAGE("https://api.qrserver.com/v1/create-qr-code/?size=150x150&amp;data=https://docs.google.com/presentation/d/1zixMLgT_-DAbZt4TV9PHXbBP9yJz2QvuiQBroElOLPU/edit?usp=sharing",1))</f>
        <v/>
      </c>
      <c r="D16" s="3" t="s">
        <v>37</v>
      </c>
      <c r="E16" s="2" t="str">
        <f t="shared" ref="E16:E18" si="3">HYPERLINK("https://docs.google.com/presentation/d/1zixMLgT_-DAbZt4TV9PHXbBP9yJz2QvuiQBroElOLPU/edit?usp=sharing","The Beverly Hills Hotel Event Marketing")</f>
        <v>The Beverly Hills Hotel Event Marketing</v>
      </c>
    </row>
    <row r="17" ht="112.5" customHeight="1">
      <c r="A17" s="1" t="s">
        <v>38</v>
      </c>
      <c r="B17" s="1" t="s">
        <v>34</v>
      </c>
      <c r="C17" s="2" t="str">
        <f>HYPERLINK("https://docs.google.com/presentation/d/1zixMLgT_-DAbZt4TV9PHXbBP9yJz2QvuiQBroElOLPU/view", IMAGE("https://api.qrserver.com/v1/create-qr-code/?size=150x150&amp;data=https://docs.google.com/presentation/d/1zixMLgT_-DAbZt4TV9PHXbBP9yJz2QvuiQBroElOLPU/view",1))</f>
        <v/>
      </c>
      <c r="D17" s="3" t="s">
        <v>39</v>
      </c>
      <c r="E17" s="2" t="str">
        <f t="shared" si="3"/>
        <v>The Beverly Hills Hotel Event Marketing</v>
      </c>
    </row>
    <row r="18" ht="112.5" customHeight="1">
      <c r="A18" s="1" t="s">
        <v>40</v>
      </c>
      <c r="B18" s="1" t="s">
        <v>41</v>
      </c>
      <c r="C18" s="2" t="str">
        <f>HYPERLINK("https://docs.google.com/presentation/d/1zixMLgT_-DAbZt4TV9PHXbBP9yJz2QvuiQBroElOLPU/htmlpresent", IMAGE("https://api.qrserver.com/v1/create-qr-code/?size=150x150&amp;data=https://docs.google.com/presentation/d/1zixMLgT_-DAbZt4TV9PHXbBP9yJz2QvuiQBroElOLPU/htmlpresent",1))</f>
        <v/>
      </c>
      <c r="D18" s="3" t="s">
        <v>42</v>
      </c>
      <c r="E18" s="2" t="str">
        <f t="shared" si="3"/>
        <v>The Beverly Hills Hotel Event Marketing</v>
      </c>
    </row>
    <row r="19" ht="112.5" customHeight="1">
      <c r="A19" s="1" t="s">
        <v>43</v>
      </c>
      <c r="B19" s="1" t="s">
        <v>44</v>
      </c>
      <c r="C19" s="2" t="str">
        <f>HYPERLINK("https://calendar.google.com/calendar/embed?src=425bca2c39c0f81b83db72a0330c672c7d3ebada9c9880bc7526b664317f4657@group.calendar.google.com", IMAGE("https://api.qrserver.com/v1/create-qr-code/?size=150x150&amp;data=https://calendar.google.com/calendar/embed?src=425bca2c39c0f81b83db72a0330c672c7d3ebada9c9880bc7526b664317f4657@group.calendar.google.com",1))</f>
        <v/>
      </c>
      <c r="D19" s="3" t="s">
        <v>45</v>
      </c>
      <c r="E19" s="2" t="str">
        <f>HYPERLINK("https://calendar.google.com/calendar/embed?src=425bca2c39c0f81b83db72a0330c672c7d3ebada9c9880bc7526b664317f4657@group.calendar.google.com","The Beverly Hills Hotel Event Marketing")</f>
        <v>The Beverly Hills Hotel Event Marketing</v>
      </c>
    </row>
    <row r="20" ht="112.5" customHeight="1">
      <c r="A20" s="1" t="s">
        <v>46</v>
      </c>
      <c r="B20" s="1" t="s">
        <v>47</v>
      </c>
      <c r="C20" s="2" t="str">
        <f>HYPERLINK("https://www.google.com/calendar/event?eid=cHRtZGE5cjg2bHBxZjM3anIwcDdrNTRnNmsgNDI1YmNhMmMzOWMwZjgxYjgzZGI3MmEwMzMwYzY3MmM3ZDNlYmFkYTljOTg4MGJjNzUyNmI2NjQzMTdmNDY1N0Bncm91cC5jYWxlbmRhci5nb29nbGUuY29t", IMAGE("https://api.qrserver.com/v1/create-qr-code/?size=150x150&amp;data=https://www.google.com/calendar/event?eid=cHRtZGE5cjg2bHBxZjM3anIwcDdrNTRnNmsgNDI1YmNhMmMzOWMwZjgxYjgzZGI3MmEwMzMwYzY3MmM3ZDNlYmFkYTljOTg4MGJjNzUyNmI2NjQzMTdmNDY1N0Bncm91cC5jYWxlbmRhci5nb29nbGU"&amp;"uY29t",1))</f>
        <v/>
      </c>
      <c r="D20" s="3" t="s">
        <v>48</v>
      </c>
      <c r="E20" s="2" t="str">
        <f>HYPERLINK("https://www.google.com/calendar/event?eid=cHRtZGE5cjg2bHBxZjM3anIwcDdrNTRnNmsgNDI1YmNhMmMzOWMwZjgxYjgzZGI3MmEwMzMwYzY3MmM3ZDNlYmFkYTljOTg4MGJjNzUyNmI2NjQzMTdmNDY1N0Bncm91cC5jYWxlbmRhci5nb29nbGUuY29t","The Beverly Hills Hotel Event Marketing")</f>
        <v>The Beverly Hills Hotel Event Marketing</v>
      </c>
    </row>
    <row r="21" ht="112.5" customHeight="1">
      <c r="A21" s="1" t="s">
        <v>46</v>
      </c>
      <c r="B21" s="1" t="s">
        <v>47</v>
      </c>
      <c r="C21" s="2" t="str">
        <f>HYPERLINK("https://www.google.com/calendar/event?eid=dnBqc2JibHVsNDdlb3NrMXExcXA4M3IyNzQgNDI1YmNhMmMzOWMwZjgxYjgzZGI3MmEwMzMwYzY3MmM3ZDNlYmFkYTljOTg4MGJjNzUyNmI2NjQzMTdmNDY1N0Bncm91cC5jYWxlbmRhci5nb29nbGUuY29t", IMAGE("https://api.qrserver.com/v1/create-qr-code/?size=150x150&amp;data=https://www.google.com/calendar/event?eid=dnBqc2JibHVsNDdlb3NrMXExcXA4M3IyNzQgNDI1YmNhMmMzOWMwZjgxYjgzZGI3MmEwMzMwYzY3MmM3ZDNlYmFkYTljOTg4MGJjNzUyNmI2NjQzMTdmNDY1N0Bncm91cC5jYWxlbmRhci5nb29nbGU"&amp;"uY29t",1))</f>
        <v/>
      </c>
      <c r="D21" s="3" t="s">
        <v>49</v>
      </c>
      <c r="E21" s="2" t="str">
        <f>HYPERLINK("https://www.google.com/calendar/event?eid=dnBqc2JibHVsNDdlb3NrMXExcXA4M3IyNzQgNDI1YmNhMmMzOWMwZjgxYjgzZGI3MmEwMzMwYzY3MmM3ZDNlYmFkYTljOTg4MGJjNzUyNmI2NjQzMTdmNDY1N0Bncm91cC5jYWxlbmRhci5nb29nbGUuY29t","The Beverly Hills Hotel Event Marketing")</f>
        <v>The Beverly Hills Hotel Event Marketing</v>
      </c>
    </row>
    <row r="22" ht="112.5" customHeight="1">
      <c r="A22" s="1" t="s">
        <v>46</v>
      </c>
      <c r="B22" s="1" t="s">
        <v>47</v>
      </c>
      <c r="C22" s="2" t="str">
        <f>HYPERLINK("https://www.google.com/calendar/event?eid=YzhicWc3bmRuNThqdnA3YjJjN3RxcGtoNmcgNDI1YmNhMmMzOWMwZjgxYjgzZGI3MmEwMzMwYzY3MmM3ZDNlYmFkYTljOTg4MGJjNzUyNmI2NjQzMTdmNDY1N0Bncm91cC5jYWxlbmRhci5nb29nbGUuY29t", IMAGE("https://api.qrserver.com/v1/create-qr-code/?size=150x150&amp;data=https://www.google.com/calendar/event?eid=YzhicWc3bmRuNThqdnA3YjJjN3RxcGtoNmcgNDI1YmNhMmMzOWMwZjgxYjgzZGI3MmEwMzMwYzY3MmM3ZDNlYmFkYTljOTg4MGJjNzUyNmI2NjQzMTdmNDY1N0Bncm91cC5jYWxlbmRhci5nb29nbGU"&amp;"uY29t",1))</f>
        <v/>
      </c>
      <c r="D22" s="3" t="s">
        <v>50</v>
      </c>
      <c r="E22" s="2" t="str">
        <f>HYPERLINK("https://www.google.com/calendar/event?eid=YzhicWc3bmRuNThqdnA3YjJjN3RxcGtoNmcgNDI1YmNhMmMzOWMwZjgxYjgzZGI3MmEwMzMwYzY3MmM3ZDNlYmFkYTljOTg4MGJjNzUyNmI2NjQzMTdmNDY1N0Bncm91cC5jYWxlbmRhci5nb29nbGUuY29t","The Beverly Hills Hotel Event Marketing")</f>
        <v>The Beverly Hills Hotel Event Marketing</v>
      </c>
    </row>
    <row r="23" ht="112.5" customHeight="1">
      <c r="A23" s="1" t="s">
        <v>46</v>
      </c>
      <c r="B23" s="1" t="s">
        <v>47</v>
      </c>
      <c r="C23" s="2" t="str">
        <f>HYPERLINK("https://www.google.com/calendar/event?eid=ZWpsMDdranNmNzgzMGk1ZTBzb3BocmRrMzggNDI1YmNhMmMzOWMwZjgxYjgzZGI3MmEwMzMwYzY3MmM3ZDNlYmFkYTljOTg4MGJjNzUyNmI2NjQzMTdmNDY1N0Bncm91cC5jYWxlbmRhci5nb29nbGUuY29t", IMAGE("https://api.qrserver.com/v1/create-qr-code/?size=150x150&amp;data=https://www.google.com/calendar/event?eid=ZWpsMDdranNmNzgzMGk1ZTBzb3BocmRrMzggNDI1YmNhMmMzOWMwZjgxYjgzZGI3MmEwMzMwYzY3MmM3ZDNlYmFkYTljOTg4MGJjNzUyNmI2NjQzMTdmNDY1N0Bncm91cC5jYWxlbmRhci5nb29nbGU"&amp;"uY29t",1))</f>
        <v/>
      </c>
      <c r="D23" s="3" t="s">
        <v>51</v>
      </c>
      <c r="E23" s="2" t="str">
        <f>HYPERLINK("https://www.google.com/calendar/event?eid=ZWpsMDdranNmNzgzMGk1ZTBzb3BocmRrMzggNDI1YmNhMmMzOWMwZjgxYjgzZGI3MmEwMzMwYzY3MmM3ZDNlYmFkYTljOTg4MGJjNzUyNmI2NjQzMTdmNDY1N0Bncm91cC5jYWxlbmRhci5nb29nbGUuY29t","The Beverly Hills Hotel Event Marketing")</f>
        <v>The Beverly Hills Hotel Event Marketing</v>
      </c>
    </row>
    <row r="24" ht="112.5" customHeight="1">
      <c r="A24" s="1" t="s">
        <v>46</v>
      </c>
      <c r="B24" s="1" t="s">
        <v>47</v>
      </c>
      <c r="C24" s="2" t="str">
        <f>HYPERLINK("https://www.google.com/calendar/event?eid=c3IzaDMzNjk1Z2wxNWI2cms3YnFybHI3bDggNDI1YmNhMmMzOWMwZjgxYjgzZGI3MmEwMzMwYzY3MmM3ZDNlYmFkYTljOTg4MGJjNzUyNmI2NjQzMTdmNDY1N0Bncm91cC5jYWxlbmRhci5nb29nbGUuY29t", IMAGE("https://api.qrserver.com/v1/create-qr-code/?size=150x150&amp;data=https://www.google.com/calendar/event?eid=c3IzaDMzNjk1Z2wxNWI2cms3YnFybHI3bDggNDI1YmNhMmMzOWMwZjgxYjgzZGI3MmEwMzMwYzY3MmM3ZDNlYmFkYTljOTg4MGJjNzUyNmI2NjQzMTdmNDY1N0Bncm91cC5jYWxlbmRhci5nb29nbGU"&amp;"uY29t",1))</f>
        <v/>
      </c>
      <c r="D24" s="3" t="s">
        <v>52</v>
      </c>
      <c r="E24" s="2" t="str">
        <f>HYPERLINK("https://www.google.com/calendar/event?eid=c3IzaDMzNjk1Z2wxNWI2cms3YnFybHI3bDggNDI1YmNhMmMzOWMwZjgxYjgzZGI3MmEwMzMwYzY3MmM3ZDNlYmFkYTljOTg4MGJjNzUyNmI2NjQzMTdmNDY1N0Bncm91cC5jYWxlbmRhci5nb29nbGUuY29t","The Beverly Hills Hotel Event Marketing")</f>
        <v>The Beverly Hills Hotel Event Marketing</v>
      </c>
    </row>
    <row r="25" ht="112.5" customHeight="1">
      <c r="A25" s="1" t="s">
        <v>46</v>
      </c>
      <c r="B25" s="1" t="s">
        <v>47</v>
      </c>
      <c r="C25" s="2" t="str">
        <f>HYPERLINK("https://www.google.com/calendar/event?eid=YzhvcW4zdDBncThlOTlkdnVhYmpsYm9pZmcgNDI1YmNhMmMzOWMwZjgxYjgzZGI3MmEwMzMwYzY3MmM3ZDNlYmFkYTljOTg4MGJjNzUyNmI2NjQzMTdmNDY1N0Bncm91cC5jYWxlbmRhci5nb29nbGUuY29t", IMAGE("https://api.qrserver.com/v1/create-qr-code/?size=150x150&amp;data=https://www.google.com/calendar/event?eid=YzhvcW4zdDBncThlOTlkdnVhYmpsYm9pZmcgNDI1YmNhMmMzOWMwZjgxYjgzZGI3MmEwMzMwYzY3MmM3ZDNlYmFkYTljOTg4MGJjNzUyNmI2NjQzMTdmNDY1N0Bncm91cC5jYWxlbmRhci5nb29nbGU"&amp;"uY29t",1))</f>
        <v/>
      </c>
      <c r="D25" s="3" t="s">
        <v>53</v>
      </c>
      <c r="E25" s="2" t="str">
        <f>HYPERLINK("https://www.google.com/calendar/event?eid=YzhvcW4zdDBncThlOTlkdnVhYmpsYm9pZmcgNDI1YmNhMmMzOWMwZjgxYjgzZGI3MmEwMzMwYzY3MmM3ZDNlYmFkYTljOTg4MGJjNzUyNmI2NjQzMTdmNDY1N0Bncm91cC5jYWxlbmRhci5nb29nbGUuY29t","The Beverly Hills Hotel Event Marketing")</f>
        <v>The Beverly Hills Hotel Event Marketing</v>
      </c>
    </row>
    <row r="26" ht="112.5" customHeight="1">
      <c r="A26" s="1" t="s">
        <v>46</v>
      </c>
      <c r="B26" s="1" t="s">
        <v>47</v>
      </c>
      <c r="C26" s="2" t="str">
        <f>HYPERLINK("https://www.google.com/calendar/event?eid=ZjFrb2plaTJsODY0MXVnNmZhMmwwbWNwMjAgNDI1YmNhMmMzOWMwZjgxYjgzZGI3MmEwMzMwYzY3MmM3ZDNlYmFkYTljOTg4MGJjNzUyNmI2NjQzMTdmNDY1N0Bncm91cC5jYWxlbmRhci5nb29nbGUuY29t", IMAGE("https://api.qrserver.com/v1/create-qr-code/?size=150x150&amp;data=https://www.google.com/calendar/event?eid=ZjFrb2plaTJsODY0MXVnNmZhMmwwbWNwMjAgNDI1YmNhMmMzOWMwZjgxYjgzZGI3MmEwMzMwYzY3MmM3ZDNlYmFkYTljOTg4MGJjNzUyNmI2NjQzMTdmNDY1N0Bncm91cC5jYWxlbmRhci5nb29nbGU"&amp;"uY29t",1))</f>
        <v/>
      </c>
      <c r="D26" s="3" t="s">
        <v>54</v>
      </c>
      <c r="E26" s="2" t="str">
        <f>HYPERLINK("https://www.google.com/calendar/event?eid=ZjFrb2plaTJsODY0MXVnNmZhMmwwbWNwMjAgNDI1YmNhMmMzOWMwZjgxYjgzZGI3MmEwMzMwYzY3MmM3ZDNlYmFkYTljOTg4MGJjNzUyNmI2NjQzMTdmNDY1N0Bncm91cC5jYWxlbmRhci5nb29nbGUuY29t","The Beverly Hills Hotel Event Marketing")</f>
        <v>The Beverly Hills Hotel Event Marketing</v>
      </c>
    </row>
    <row r="27" ht="112.5" customHeight="1">
      <c r="A27" s="1" t="s">
        <v>46</v>
      </c>
      <c r="B27" s="1" t="s">
        <v>47</v>
      </c>
      <c r="C27" s="2" t="str">
        <f>HYPERLINK("https://www.google.com/calendar/event?eid=Y3BvNzJsMWcwODdiMTI4YTBtamI2ajcxZWsgNDI1YmNhMmMzOWMwZjgxYjgzZGI3MmEwMzMwYzY3MmM3ZDNlYmFkYTljOTg4MGJjNzUyNmI2NjQzMTdmNDY1N0Bncm91cC5jYWxlbmRhci5nb29nbGUuY29t", IMAGE("https://api.qrserver.com/v1/create-qr-code/?size=150x150&amp;data=https://www.google.com/calendar/event?eid=Y3BvNzJsMWcwODdiMTI4YTBtamI2ajcxZWsgNDI1YmNhMmMzOWMwZjgxYjgzZGI3MmEwMzMwYzY3MmM3ZDNlYmFkYTljOTg4MGJjNzUyNmI2NjQzMTdmNDY1N0Bncm91cC5jYWxlbmRhci5nb29nbGU"&amp;"uY29t",1))</f>
        <v/>
      </c>
      <c r="D27" s="3" t="s">
        <v>55</v>
      </c>
      <c r="E27" s="2" t="str">
        <f>HYPERLINK("https://www.google.com/calendar/event?eid=Y3BvNzJsMWcwODdiMTI4YTBtamI2ajcxZWsgNDI1YmNhMmMzOWMwZjgxYjgzZGI3MmEwMzMwYzY3MmM3ZDNlYmFkYTljOTg4MGJjNzUyNmI2NjQzMTdmNDY1N0Bncm91cC5jYWxlbmRhci5nb29nbGUuY29t","The Beverly Hills Hotel Event Marketing")</f>
        <v>The Beverly Hills Hotel Event Marketing</v>
      </c>
    </row>
    <row r="28" ht="112.5" customHeight="1">
      <c r="A28" s="1" t="s">
        <v>46</v>
      </c>
      <c r="B28" s="1" t="s">
        <v>47</v>
      </c>
      <c r="C28" s="2" t="str">
        <f>HYPERLINK("https://www.google.com/calendar/event?eid=NWdzMGo0ZG5haTE3bXUwcTh0bG1oYnNqZGsgNDI1YmNhMmMzOWMwZjgxYjgzZGI3MmEwMzMwYzY3MmM3ZDNlYmFkYTljOTg4MGJjNzUyNmI2NjQzMTdmNDY1N0Bncm91cC5jYWxlbmRhci5nb29nbGUuY29t", IMAGE("https://api.qrserver.com/v1/create-qr-code/?size=150x150&amp;data=https://www.google.com/calendar/event?eid=NWdzMGo0ZG5haTE3bXUwcTh0bG1oYnNqZGsgNDI1YmNhMmMzOWMwZjgxYjgzZGI3MmEwMzMwYzY3MmM3ZDNlYmFkYTljOTg4MGJjNzUyNmI2NjQzMTdmNDY1N0Bncm91cC5jYWxlbmRhci5nb29nbGU"&amp;"uY29t",1))</f>
        <v/>
      </c>
      <c r="D28" s="3" t="s">
        <v>56</v>
      </c>
      <c r="E28" s="2" t="str">
        <f>HYPERLINK("https://www.google.com/calendar/event?eid=NWdzMGo0ZG5haTE3bXUwcTh0bG1oYnNqZGsgNDI1YmNhMmMzOWMwZjgxYjgzZGI3MmEwMzMwYzY3MmM3ZDNlYmFkYTljOTg4MGJjNzUyNmI2NjQzMTdmNDY1N0Bncm91cC5jYWxlbmRhci5nb29nbGUuY29t","The Beverly Hills Hotel Event Marketing")</f>
        <v>The Beverly Hills Hotel Event Marketing</v>
      </c>
    </row>
    <row r="29" ht="112.5" customHeight="1">
      <c r="A29" s="1" t="s">
        <v>46</v>
      </c>
      <c r="B29" s="1" t="s">
        <v>47</v>
      </c>
      <c r="C29" s="2" t="str">
        <f>HYPERLINK("https://www.google.com/calendar/event?eid=YnUyZDk2OG1xdmYwYTJpNjVsN25wMWozdmsgNDI1YmNhMmMzOWMwZjgxYjgzZGI3MmEwMzMwYzY3MmM3ZDNlYmFkYTljOTg4MGJjNzUyNmI2NjQzMTdmNDY1N0Bncm91cC5jYWxlbmRhci5nb29nbGUuY29t", IMAGE("https://api.qrserver.com/v1/create-qr-code/?size=150x150&amp;data=https://www.google.com/calendar/event?eid=YnUyZDk2OG1xdmYwYTJpNjVsN25wMWozdmsgNDI1YmNhMmMzOWMwZjgxYjgzZGI3MmEwMzMwYzY3MmM3ZDNlYmFkYTljOTg4MGJjNzUyNmI2NjQzMTdmNDY1N0Bncm91cC5jYWxlbmRhci5nb29nbGU"&amp;"uY29t",1))</f>
        <v/>
      </c>
      <c r="D29" s="3" t="s">
        <v>57</v>
      </c>
      <c r="E29" s="2" t="str">
        <f>HYPERLINK("https://www.google.com/calendar/event?eid=YnUyZDk2OG1xdmYwYTJpNjVsN25wMWozdmsgNDI1YmNhMmMzOWMwZjgxYjgzZGI3MmEwMzMwYzY3MmM3ZDNlYmFkYTljOTg4MGJjNzUyNmI2NjQzMTdmNDY1N0Bncm91cC5jYWxlbmRhci5nb29nbGUuY29t","The Beverly Hills Hotel Event Marketing")</f>
        <v>The Beverly Hills Hotel Event Marketing</v>
      </c>
    </row>
    <row r="30" ht="112.5" customHeight="1">
      <c r="A30" s="1" t="s">
        <v>46</v>
      </c>
      <c r="B30" s="1" t="s">
        <v>47</v>
      </c>
      <c r="C30" s="2" t="str">
        <f>HYPERLINK("https://www.google.com/calendar/event?eid=YzdvMDl0MnNuMG1yZWtvYzR0cHBmbGdoaWMgNDI1YmNhMmMzOWMwZjgxYjgzZGI3MmEwMzMwYzY3MmM3ZDNlYmFkYTljOTg4MGJjNzUyNmI2NjQzMTdmNDY1N0Bncm91cC5jYWxlbmRhci5nb29nbGUuY29t", IMAGE("https://api.qrserver.com/v1/create-qr-code/?size=150x150&amp;data=https://www.google.com/calendar/event?eid=YzdvMDl0MnNuMG1yZWtvYzR0cHBmbGdoaWMgNDI1YmNhMmMzOWMwZjgxYjgzZGI3MmEwMzMwYzY3MmM3ZDNlYmFkYTljOTg4MGJjNzUyNmI2NjQzMTdmNDY1N0Bncm91cC5jYWxlbmRhci5nb29nbGU"&amp;"uY29t",1))</f>
        <v/>
      </c>
      <c r="D30" s="3" t="s">
        <v>58</v>
      </c>
      <c r="E30" s="2" t="str">
        <f>HYPERLINK("https://www.google.com/calendar/event?eid=YzdvMDl0MnNuMG1yZWtvYzR0cHBmbGdoaWMgNDI1YmNhMmMzOWMwZjgxYjgzZGI3MmEwMzMwYzY3MmM3ZDNlYmFkYTljOTg4MGJjNzUyNmI2NjQzMTdmNDY1N0Bncm91cC5jYWxlbmRhci5nb29nbGUuY29t","The Beverly Hills Hotel Event Marketing")</f>
        <v>The Beverly Hills Hotel Event Marketing</v>
      </c>
    </row>
    <row r="31" ht="112.5" customHeight="1">
      <c r="A31" s="1" t="s">
        <v>46</v>
      </c>
      <c r="B31" s="1" t="s">
        <v>47</v>
      </c>
      <c r="C31" s="2" t="str">
        <f>HYPERLINK("https://www.google.com/calendar/event?eid=cnI5Ym1idXFyZmMxdGR0MWRsMzZrbWttZmsgNDI1YmNhMmMzOWMwZjgxYjgzZGI3MmEwMzMwYzY3MmM3ZDNlYmFkYTljOTg4MGJjNzUyNmI2NjQzMTdmNDY1N0Bncm91cC5jYWxlbmRhci5nb29nbGUuY29t", IMAGE("https://api.qrserver.com/v1/create-qr-code/?size=150x150&amp;data=https://www.google.com/calendar/event?eid=cnI5Ym1idXFyZmMxdGR0MWRsMzZrbWttZmsgNDI1YmNhMmMzOWMwZjgxYjgzZGI3MmEwMzMwYzY3MmM3ZDNlYmFkYTljOTg4MGJjNzUyNmI2NjQzMTdmNDY1N0Bncm91cC5jYWxlbmRhci5nb29nbGU"&amp;"uY29t",1))</f>
        <v/>
      </c>
      <c r="D31" s="3" t="s">
        <v>59</v>
      </c>
      <c r="E31" s="2" t="str">
        <f>HYPERLINK("https://www.google.com/calendar/event?eid=cnI5Ym1idXFyZmMxdGR0MWRsMzZrbWttZmsgNDI1YmNhMmMzOWMwZjgxYjgzZGI3MmEwMzMwYzY3MmM3ZDNlYmFkYTljOTg4MGJjNzUyNmI2NjQzMTdmNDY1N0Bncm91cC5jYWxlbmRhci5nb29nbGUuY29t","The Beverly Hills Hotel Event Marketing")</f>
        <v>The Beverly Hills Hotel Event Marketing</v>
      </c>
    </row>
    <row r="32" ht="112.5" customHeight="1">
      <c r="A32" s="1" t="s">
        <v>46</v>
      </c>
      <c r="B32" s="1" t="s">
        <v>47</v>
      </c>
      <c r="C32" s="2" t="str">
        <f>HYPERLINK("https://www.google.com/calendar/event?eid=bnBhODdsMG01bXVzM3BhN2c0YTcwNnBlYWcgNDI1YmNhMmMzOWMwZjgxYjgzZGI3MmEwMzMwYzY3MmM3ZDNlYmFkYTljOTg4MGJjNzUyNmI2NjQzMTdmNDY1N0Bncm91cC5jYWxlbmRhci5nb29nbGUuY29t", IMAGE("https://api.qrserver.com/v1/create-qr-code/?size=150x150&amp;data=https://www.google.com/calendar/event?eid=bnBhODdsMG01bXVzM3BhN2c0YTcwNnBlYWcgNDI1YmNhMmMzOWMwZjgxYjgzZGI3MmEwMzMwYzY3MmM3ZDNlYmFkYTljOTg4MGJjNzUyNmI2NjQzMTdmNDY1N0Bncm91cC5jYWxlbmRhci5nb29nbGU"&amp;"uY29t",1))</f>
        <v/>
      </c>
      <c r="D32" s="3" t="s">
        <v>60</v>
      </c>
      <c r="E32" s="2" t="str">
        <f>HYPERLINK("https://www.google.com/calendar/event?eid=bnBhODdsMG01bXVzM3BhN2c0YTcwNnBlYWcgNDI1YmNhMmMzOWMwZjgxYjgzZGI3MmEwMzMwYzY3MmM3ZDNlYmFkYTljOTg4MGJjNzUyNmI2NjQzMTdmNDY1N0Bncm91cC5jYWxlbmRhci5nb29nbGUuY29t","The Beverly Hills Hotel Event Marketing")</f>
        <v>The Beverly Hills Hotel Event Marketing</v>
      </c>
    </row>
    <row r="33" ht="112.5" customHeight="1">
      <c r="A33" s="1" t="s">
        <v>61</v>
      </c>
      <c r="B33" s="1" t="s">
        <v>62</v>
      </c>
      <c r="C33" s="2" t="str">
        <f>HYPERLINK("https://docs.google.com/spreadsheets/d/1FR8mAHuzSpYw2w8x9c_-Om4hSJtsUgK2gmHDXtFQ_-8/edit#gid=0", IMAGE("https://api.qrserver.com/v1/create-qr-code/?size=150x150&amp;data=https://docs.google.com/spreadsheets/d/1FR8mAHuzSpYw2w8x9c_-Om4hSJtsUgK2gmHDXtFQ_-8/edit#gid=0",1))</f>
        <v/>
      </c>
      <c r="D33" s="3" t="s">
        <v>63</v>
      </c>
      <c r="E33" s="2" t="str">
        <f>HYPERLINK("https://docs.google.com/spreadsheets/d/1FR8mAHuzSpYw2w8x9c_-Om4hSJtsUgK2gmHDXtFQ_-8/edit#gid=0","The Beverly Hills Hotel Event Marketing Sheet1")</f>
        <v>The Beverly Hills Hotel Event Marketing Sheet1</v>
      </c>
    </row>
    <row r="34" ht="112.5" customHeight="1">
      <c r="A34" s="1" t="s">
        <v>61</v>
      </c>
      <c r="B34" s="1" t="s">
        <v>64</v>
      </c>
      <c r="C34" s="2" t="str">
        <f>HYPERLINK("https://docs.google.com/spreadsheets/d/1FR8mAHuzSpYw2w8x9c_-Om4hSJtsUgK2gmHDXtFQ_-8/edit#gid=1153714324", IMAGE("https://api.qrserver.com/v1/create-qr-code/?size=150x150&amp;data=https://docs.google.com/spreadsheets/d/1FR8mAHuzSpYw2w8x9c_-Om4hSJtsUgK2gmHDXtFQ_-8/edit#gid=1153714324",1))</f>
        <v/>
      </c>
      <c r="D34" s="3" t="s">
        <v>65</v>
      </c>
      <c r="E34" s="2" t="str">
        <f>HYPERLINK("https://docs.google.com/spreadsheets/d/1FR8mAHuzSpYw2w8x9c_-Om4hSJtsUgK2gmHDXtFQ_-8/edit#gid=1153714324","The Beverly Hills Hotel Event Marketing Keywords")</f>
        <v>The Beverly Hills Hotel Event Marketing Keywords</v>
      </c>
    </row>
    <row r="35" ht="112.5" customHeight="1">
      <c r="A35" s="1" t="s">
        <v>61</v>
      </c>
      <c r="B35" s="1" t="s">
        <v>66</v>
      </c>
      <c r="C35" s="2" t="str">
        <f>HYPERLINK("https://docs.google.com/spreadsheets/d/1FR8mAHuzSpYw2w8x9c_-Om4hSJtsUgK2gmHDXtFQ_-8/edit#gid=671564452", IMAGE("https://api.qrserver.com/v1/create-qr-code/?size=150x150&amp;data=https://docs.google.com/spreadsheets/d/1FR8mAHuzSpYw2w8x9c_-Om4hSJtsUgK2gmHDXtFQ_-8/edit#gid=671564452",1))</f>
        <v/>
      </c>
      <c r="D35" s="3" t="s">
        <v>67</v>
      </c>
      <c r="E35" s="2" t="str">
        <f>HYPERLINK("https://docs.google.com/spreadsheets/d/1FR8mAHuzSpYw2w8x9c_-Om4hSJtsUgK2gmHDXtFQ_-8/edit#gid=671564452","The Beverly Hills Hotel Event Marketing Content")</f>
        <v>The Beverly Hills Hotel Event Marketing Content</v>
      </c>
    </row>
    <row r="36" ht="112.5" customHeight="1">
      <c r="A36" s="1" t="s">
        <v>61</v>
      </c>
      <c r="B36" s="1" t="s">
        <v>68</v>
      </c>
      <c r="C36" s="2" t="str">
        <f>HYPERLINK("https://docs.google.com/spreadsheets/d/1FR8mAHuzSpYw2w8x9c_-Om4hSJtsUgK2gmHDXtFQ_-8/edit#gid=1710575977", IMAGE("https://api.qrserver.com/v1/create-qr-code/?size=150x150&amp;data=https://docs.google.com/spreadsheets/d/1FR8mAHuzSpYw2w8x9c_-Om4hSJtsUgK2gmHDXtFQ_-8/edit#gid=1710575977",1))</f>
        <v/>
      </c>
      <c r="D36" s="3" t="s">
        <v>69</v>
      </c>
      <c r="E36" s="2" t="str">
        <f>HYPERLINK("https://docs.google.com/spreadsheets/d/1FR8mAHuzSpYw2w8x9c_-Om4hSJtsUgK2gmHDXtFQ_-8/edit#gid=1710575977","The Beverly Hills Hotel Event Marketing Calendar Events")</f>
        <v>The Beverly Hills Hotel Event Marketing Calendar Events</v>
      </c>
    </row>
    <row r="37" ht="112.5" customHeight="1">
      <c r="A37" s="1" t="s">
        <v>61</v>
      </c>
      <c r="B37" s="1" t="s">
        <v>70</v>
      </c>
      <c r="C37" s="2" t="str">
        <f>HYPERLINK("https://docs.google.com/spreadsheets/d/1FR8mAHuzSpYw2w8x9c_-Om4hSJtsUgK2gmHDXtFQ_-8/edit#gid=956835089", IMAGE("https://api.qrserver.com/v1/create-qr-code/?size=150x150&amp;data=https://docs.google.com/spreadsheets/d/1FR8mAHuzSpYw2w8x9c_-Om4hSJtsUgK2gmHDXtFQ_-8/edit#gid=956835089",1))</f>
        <v/>
      </c>
      <c r="D37" s="3" t="s">
        <v>71</v>
      </c>
      <c r="E37" s="2" t="str">
        <f>HYPERLINK("https://docs.google.com/spreadsheets/d/1FR8mAHuzSpYw2w8x9c_-Om4hSJtsUgK2gmHDXtFQ_-8/edit#gid=956835089","The Beverly Hills Hotel Event Marketing RSS Feeds")</f>
        <v>The Beverly Hills Hotel Event Marketing RSS Feeds</v>
      </c>
    </row>
    <row r="38" ht="112.5" customHeight="1">
      <c r="A38" s="1" t="s">
        <v>72</v>
      </c>
      <c r="B38" s="1" t="s">
        <v>73</v>
      </c>
      <c r="C38" s="2" t="str">
        <f>HYPERLINK("https://drive.google.com/drive/folders/1ZhAfZq83RHNjhk-uPAXl20T9Sq2mt6Hg?usp=sharing", IMAGE("https://api.qrserver.com/v1/create-qr-code/?size=150x150&amp;data=https://drive.google.com/drive/folders/1ZhAfZq83RHNjhk-uPAXl20T9Sq2mt6Hg?usp=sharing",1))</f>
        <v/>
      </c>
      <c r="D38" s="3" t="s">
        <v>74</v>
      </c>
      <c r="E38" s="2" t="str">
        <f>HYPERLINK("https://drive.google.com/drive/folders/1ZhAfZq83RHNjhk-uPAXl20T9Sq2mt6Hg?usp=sharing","The Beverly Hills Hotel Event Marketing MSFT")</f>
        <v>The Beverly Hills Hotel Event Marketing MSFT</v>
      </c>
    </row>
    <row r="39" ht="112.5" customHeight="1">
      <c r="A39" s="1" t="s">
        <v>19</v>
      </c>
      <c r="B39" s="1" t="s">
        <v>75</v>
      </c>
      <c r="C39" s="2" t="str">
        <f>HYPERLINK("https://drive.google.com/file/d/1X_veMGreiwUGnXFkDv4OwAkCHxQy9faq/view?usp=sharing", IMAGE("https://api.qrserver.com/v1/create-qr-code/?size=150x150&amp;data=https://drive.google.com/file/d/1X_veMGreiwUGnXFkDv4OwAkCHxQy9faq/view?usp=sharing",1))</f>
        <v/>
      </c>
      <c r="D39" s="3" t="s">
        <v>76</v>
      </c>
      <c r="E39" s="2" t="str">
        <f>HYPERLINK("https://drive.google.com/file/d/1X_veMGreiwUGnXFkDv4OwAkCHxQy9faq/view?usp=sharing","Waldorf Astoria Beverly Hills Photo")</f>
        <v>Waldorf Astoria Beverly Hills Photo</v>
      </c>
    </row>
    <row r="40" ht="112.5" customHeight="1">
      <c r="A40" s="1" t="s">
        <v>19</v>
      </c>
      <c r="B40" s="1" t="s">
        <v>77</v>
      </c>
      <c r="C40" s="2" t="str">
        <f>HYPERLINK("https://drive.google.com/file/d/1qDRezGc6S-GXO1Ums-z58A4tZj8QfUxZ/view?usp=sharing", IMAGE("https://api.qrserver.com/v1/create-qr-code/?size=150x150&amp;data=https://drive.google.com/file/d/1qDRezGc6S-GXO1Ums-z58A4tZj8QfUxZ/view?usp=sharing",1))</f>
        <v/>
      </c>
      <c r="D40" s="3" t="s">
        <v>78</v>
      </c>
      <c r="E40" s="2" t="str">
        <f>HYPERLINK("https://drive.google.com/file/d/1qDRezGc6S-GXO1Ums-z58A4tZj8QfUxZ/view?usp=sharing","Chateau Marmont Event Photography")</f>
        <v>Chateau Marmont Event Photography</v>
      </c>
    </row>
    <row r="41" ht="112.5" customHeight="1">
      <c r="A41" s="1" t="s">
        <v>31</v>
      </c>
      <c r="B41" s="1" t="s">
        <v>75</v>
      </c>
      <c r="C41" s="2" t="str">
        <f>HYPERLINK("https://docs.google.com/document/d/1JdOqL617yy-da-wo9--A6OhNMYfe3hp0eSTk_Ixp_U0/edit?usp=sharing", IMAGE("https://api.qrserver.com/v1/create-qr-code/?size=150x150&amp;data=https://docs.google.com/document/d/1JdOqL617yy-da-wo9--A6OhNMYfe3hp0eSTk_Ixp_U0/edit?usp=sharing",1))</f>
        <v/>
      </c>
      <c r="D41" s="3" t="s">
        <v>79</v>
      </c>
      <c r="E41" s="2" t="str">
        <f t="shared" ref="E41:E42" si="4">HYPERLINK("https://docs.google.com/document/d/1JdOqL617yy-da-wo9--A6OhNMYfe3hp0eSTk_Ixp_U0/edit?usp=sharing","Waldorf Astoria Beverly Hills Photo")</f>
        <v>Waldorf Astoria Beverly Hills Photo</v>
      </c>
    </row>
    <row r="42" ht="112.5" customHeight="1">
      <c r="A42" s="1" t="s">
        <v>33</v>
      </c>
      <c r="B42" s="1" t="s">
        <v>80</v>
      </c>
      <c r="C42" s="2" t="str">
        <f>HYPERLINK("https://docs.google.com/document/d/1JdOqL617yy-da-wo9--A6OhNMYfe3hp0eSTk_Ixp_U0/view", IMAGE("https://api.qrserver.com/v1/create-qr-code/?size=150x150&amp;data=https://docs.google.com/document/d/1JdOqL617yy-da-wo9--A6OhNMYfe3hp0eSTk_Ixp_U0/view",1))</f>
        <v/>
      </c>
      <c r="D42" s="3" t="s">
        <v>81</v>
      </c>
      <c r="E42" s="2" t="str">
        <f t="shared" si="4"/>
        <v>Waldorf Astoria Beverly Hills Photo</v>
      </c>
    </row>
    <row r="43" ht="112.5" customHeight="1">
      <c r="A43" s="1" t="s">
        <v>36</v>
      </c>
      <c r="B43" s="1" t="s">
        <v>75</v>
      </c>
      <c r="C43" s="2" t="str">
        <f>HYPERLINK("https://docs.google.com/presentation/d/13uX01hscBeRAKz_M9FRIOV1jYCHCcmdb8O2J7lJFTbM/edit?usp=sharing", IMAGE("https://api.qrserver.com/v1/create-qr-code/?size=150x150&amp;data=https://docs.google.com/presentation/d/13uX01hscBeRAKz_M9FRIOV1jYCHCcmdb8O2J7lJFTbM/edit?usp=sharing",1))</f>
        <v/>
      </c>
      <c r="D43" s="3" t="s">
        <v>82</v>
      </c>
      <c r="E43" s="2" t="str">
        <f t="shared" ref="E43:E45" si="5">HYPERLINK("https://docs.google.com/presentation/d/13uX01hscBeRAKz_M9FRIOV1jYCHCcmdb8O2J7lJFTbM/edit?usp=sharing","Waldorf Astoria Beverly Hills Photo")</f>
        <v>Waldorf Astoria Beverly Hills Photo</v>
      </c>
    </row>
    <row r="44" ht="112.5" customHeight="1">
      <c r="A44" s="1" t="s">
        <v>38</v>
      </c>
      <c r="B44" s="1" t="s">
        <v>80</v>
      </c>
      <c r="C44" s="2" t="str">
        <f>HYPERLINK("https://docs.google.com/presentation/d/13uX01hscBeRAKz_M9FRIOV1jYCHCcmdb8O2J7lJFTbM/view", IMAGE("https://api.qrserver.com/v1/create-qr-code/?size=150x150&amp;data=https://docs.google.com/presentation/d/13uX01hscBeRAKz_M9FRIOV1jYCHCcmdb8O2J7lJFTbM/view",1))</f>
        <v/>
      </c>
      <c r="D44" s="3" t="s">
        <v>83</v>
      </c>
      <c r="E44" s="2" t="str">
        <f t="shared" si="5"/>
        <v>Waldorf Astoria Beverly Hills Photo</v>
      </c>
    </row>
    <row r="45" ht="112.5" customHeight="1">
      <c r="A45" s="1" t="s">
        <v>40</v>
      </c>
      <c r="B45" s="1" t="s">
        <v>84</v>
      </c>
      <c r="C45" s="2" t="str">
        <f>HYPERLINK("https://docs.google.com/presentation/d/13uX01hscBeRAKz_M9FRIOV1jYCHCcmdb8O2J7lJFTbM/htmlpresent", IMAGE("https://api.qrserver.com/v1/create-qr-code/?size=150x150&amp;data=https://docs.google.com/presentation/d/13uX01hscBeRAKz_M9FRIOV1jYCHCcmdb8O2J7lJFTbM/htmlpresent",1))</f>
        <v/>
      </c>
      <c r="D45" s="3" t="s">
        <v>85</v>
      </c>
      <c r="E45" s="2" t="str">
        <f t="shared" si="5"/>
        <v>Waldorf Astoria Beverly Hills Photo</v>
      </c>
    </row>
    <row r="46" ht="112.5" customHeight="1">
      <c r="A46" s="1" t="s">
        <v>31</v>
      </c>
      <c r="B46" s="1" t="s">
        <v>86</v>
      </c>
      <c r="C46" s="2" t="str">
        <f>HYPERLINK("https://docs.google.com/document/d/1yq_PUXv1CeAHZI565Pes6hkmQnG9xBghEszU60_moKM/edit?usp=sharing", IMAGE("https://api.qrserver.com/v1/create-qr-code/?size=150x150&amp;data=https://docs.google.com/document/d/1yq_PUXv1CeAHZI565Pes6hkmQnG9xBghEszU60_moKM/edit?usp=sharing",1))</f>
        <v/>
      </c>
      <c r="D46" s="3" t="s">
        <v>87</v>
      </c>
      <c r="E46" s="2" t="str">
        <f t="shared" ref="E46:E47" si="6">HYPERLINK("https://docs.google.com/document/d/1yq_PUXv1CeAHZI565Pes6hkmQnG9xBghEszU60_moKM/edit?usp=sharing","The Maybourne Beverly Hills Marketing")</f>
        <v>The Maybourne Beverly Hills Marketing</v>
      </c>
    </row>
    <row r="47" ht="112.5" customHeight="1">
      <c r="A47" s="1" t="s">
        <v>33</v>
      </c>
      <c r="B47" s="1" t="s">
        <v>88</v>
      </c>
      <c r="C47" s="2" t="str">
        <f>HYPERLINK("https://docs.google.com/document/d/1yq_PUXv1CeAHZI565Pes6hkmQnG9xBghEszU60_moKM/view", IMAGE("https://api.qrserver.com/v1/create-qr-code/?size=150x150&amp;data=https://docs.google.com/document/d/1yq_PUXv1CeAHZI565Pes6hkmQnG9xBghEszU60_moKM/view",1))</f>
        <v/>
      </c>
      <c r="D47" s="3" t="s">
        <v>89</v>
      </c>
      <c r="E47" s="2" t="str">
        <f t="shared" si="6"/>
        <v>The Maybourne Beverly Hills Marketing</v>
      </c>
    </row>
    <row r="48" ht="112.5" customHeight="1">
      <c r="A48" s="1" t="s">
        <v>36</v>
      </c>
      <c r="B48" s="1" t="s">
        <v>86</v>
      </c>
      <c r="C48" s="2" t="str">
        <f>HYPERLINK("https://docs.google.com/presentation/d/1OPDPLM82uAFbVNtQxsIx1qVFwbTnYrMnkS565DYz0Kc/edit?usp=sharing", IMAGE("https://api.qrserver.com/v1/create-qr-code/?size=150x150&amp;data=https://docs.google.com/presentation/d/1OPDPLM82uAFbVNtQxsIx1qVFwbTnYrMnkS565DYz0Kc/edit?usp=sharing",1))</f>
        <v/>
      </c>
      <c r="D48" s="3" t="s">
        <v>90</v>
      </c>
      <c r="E48" s="2" t="str">
        <f t="shared" ref="E48:E50" si="7">HYPERLINK("https://docs.google.com/presentation/d/1OPDPLM82uAFbVNtQxsIx1qVFwbTnYrMnkS565DYz0Kc/edit?usp=sharing","The Maybourne Beverly Hills Marketing")</f>
        <v>The Maybourne Beverly Hills Marketing</v>
      </c>
    </row>
    <row r="49" ht="112.5" customHeight="1">
      <c r="A49" s="1" t="s">
        <v>38</v>
      </c>
      <c r="B49" s="1" t="s">
        <v>88</v>
      </c>
      <c r="C49" s="2" t="str">
        <f>HYPERLINK("https://docs.google.com/presentation/d/1OPDPLM82uAFbVNtQxsIx1qVFwbTnYrMnkS565DYz0Kc/view", IMAGE("https://api.qrserver.com/v1/create-qr-code/?size=150x150&amp;data=https://docs.google.com/presentation/d/1OPDPLM82uAFbVNtQxsIx1qVFwbTnYrMnkS565DYz0Kc/view",1))</f>
        <v/>
      </c>
      <c r="D49" s="3" t="s">
        <v>91</v>
      </c>
      <c r="E49" s="2" t="str">
        <f t="shared" si="7"/>
        <v>The Maybourne Beverly Hills Marketing</v>
      </c>
    </row>
    <row r="50" ht="112.5" customHeight="1">
      <c r="A50" s="1" t="s">
        <v>40</v>
      </c>
      <c r="B50" s="1" t="s">
        <v>92</v>
      </c>
      <c r="C50" s="2" t="str">
        <f>HYPERLINK("https://docs.google.com/presentation/d/1OPDPLM82uAFbVNtQxsIx1qVFwbTnYrMnkS565DYz0Kc/htmlpresent", IMAGE("https://api.qrserver.com/v1/create-qr-code/?size=150x150&amp;data=https://docs.google.com/presentation/d/1OPDPLM82uAFbVNtQxsIx1qVFwbTnYrMnkS565DYz0Kc/htmlpresent",1))</f>
        <v/>
      </c>
      <c r="D50" s="3" t="s">
        <v>93</v>
      </c>
      <c r="E50" s="2" t="str">
        <f t="shared" si="7"/>
        <v>The Maybourne Beverly Hills Marketing</v>
      </c>
    </row>
    <row r="51" ht="112.5" customHeight="1">
      <c r="A51" s="1" t="s">
        <v>31</v>
      </c>
      <c r="B51" s="1" t="s">
        <v>77</v>
      </c>
      <c r="C51" s="2" t="str">
        <f>HYPERLINK("https://docs.google.com/document/d/1W3AaeONe6UMY1zCizllJMt2p4hAB-yHY0AcaWl72yh0/edit?usp=sharing", IMAGE("https://api.qrserver.com/v1/create-qr-code/?size=150x150&amp;data=https://docs.google.com/document/d/1W3AaeONe6UMY1zCizllJMt2p4hAB-yHY0AcaWl72yh0/edit?usp=sharing",1))</f>
        <v/>
      </c>
      <c r="D51" s="3" t="s">
        <v>94</v>
      </c>
      <c r="E51" s="2" t="str">
        <f t="shared" ref="E51:E52" si="8">HYPERLINK("https://docs.google.com/document/d/1W3AaeONe6UMY1zCizllJMt2p4hAB-yHY0AcaWl72yh0/edit?usp=sharing","Chateau Marmont Event Photography")</f>
        <v>Chateau Marmont Event Photography</v>
      </c>
    </row>
    <row r="52" ht="112.5" customHeight="1">
      <c r="A52" s="1" t="s">
        <v>33</v>
      </c>
      <c r="B52" s="1" t="s">
        <v>95</v>
      </c>
      <c r="C52" s="2" t="str">
        <f>HYPERLINK("https://docs.google.com/document/d/1W3AaeONe6UMY1zCizllJMt2p4hAB-yHY0AcaWl72yh0/view", IMAGE("https://api.qrserver.com/v1/create-qr-code/?size=150x150&amp;data=https://docs.google.com/document/d/1W3AaeONe6UMY1zCizllJMt2p4hAB-yHY0AcaWl72yh0/view",1))</f>
        <v/>
      </c>
      <c r="D52" s="3" t="s">
        <v>96</v>
      </c>
      <c r="E52" s="2" t="str">
        <f t="shared" si="8"/>
        <v>Chateau Marmont Event Photography</v>
      </c>
    </row>
    <row r="53" ht="112.5" customHeight="1">
      <c r="A53" s="1" t="s">
        <v>36</v>
      </c>
      <c r="B53" s="1" t="s">
        <v>77</v>
      </c>
      <c r="C53" s="2" t="str">
        <f>HYPERLINK("https://docs.google.com/presentation/d/1Y9zCthUvYBJfdPmah95dSrjP6-lQCZO3Z3JOPvN4HYU/edit?usp=sharing", IMAGE("https://api.qrserver.com/v1/create-qr-code/?size=150x150&amp;data=https://docs.google.com/presentation/d/1Y9zCthUvYBJfdPmah95dSrjP6-lQCZO3Z3JOPvN4HYU/edit?usp=sharing",1))</f>
        <v/>
      </c>
      <c r="D53" s="3" t="s">
        <v>97</v>
      </c>
      <c r="E53" s="2" t="str">
        <f t="shared" ref="E53:E55" si="9">HYPERLINK("https://docs.google.com/presentation/d/1Y9zCthUvYBJfdPmah95dSrjP6-lQCZO3Z3JOPvN4HYU/edit?usp=sharing","Chateau Marmont Event Photography")</f>
        <v>Chateau Marmont Event Photography</v>
      </c>
    </row>
    <row r="54" ht="112.5" customHeight="1">
      <c r="A54" s="1" t="s">
        <v>38</v>
      </c>
      <c r="B54" s="1" t="s">
        <v>95</v>
      </c>
      <c r="C54" s="2" t="str">
        <f>HYPERLINK("https://docs.google.com/presentation/d/1Y9zCthUvYBJfdPmah95dSrjP6-lQCZO3Z3JOPvN4HYU/view", IMAGE("https://api.qrserver.com/v1/create-qr-code/?size=150x150&amp;data=https://docs.google.com/presentation/d/1Y9zCthUvYBJfdPmah95dSrjP6-lQCZO3Z3JOPvN4HYU/view",1))</f>
        <v/>
      </c>
      <c r="D54" s="3" t="s">
        <v>98</v>
      </c>
      <c r="E54" s="2" t="str">
        <f t="shared" si="9"/>
        <v>Chateau Marmont Event Photography</v>
      </c>
    </row>
    <row r="55" ht="112.5" customHeight="1">
      <c r="A55" s="1" t="s">
        <v>40</v>
      </c>
      <c r="B55" s="1" t="s">
        <v>99</v>
      </c>
      <c r="C55" s="2" t="str">
        <f>HYPERLINK("https://docs.google.com/presentation/d/1Y9zCthUvYBJfdPmah95dSrjP6-lQCZO3Z3JOPvN4HYU/htmlpresent", IMAGE("https://api.qrserver.com/v1/create-qr-code/?size=150x150&amp;data=https://docs.google.com/presentation/d/1Y9zCthUvYBJfdPmah95dSrjP6-lQCZO3Z3JOPvN4HYU/htmlpresent",1))</f>
        <v/>
      </c>
      <c r="D55" s="3" t="s">
        <v>100</v>
      </c>
      <c r="E55" s="2" t="str">
        <f t="shared" si="9"/>
        <v>Chateau Marmont Event Photography</v>
      </c>
    </row>
    <row r="56" ht="112.5" customHeight="1">
      <c r="A56" s="1" t="s">
        <v>19</v>
      </c>
      <c r="B56" s="1" t="s">
        <v>101</v>
      </c>
      <c r="C56" s="2" t="str">
        <f>HYPERLINK("https://drive.google.com/file/d/18vt5PhP25M88bGY6XEV72zenEpaSIp1L/view?usp=sharing", IMAGE("https://api.qrserver.com/v1/create-qr-code/?size=150x150&amp;data=https://drive.google.com/file/d/18vt5PhP25M88bGY6XEV72zenEpaSIp1L/view?usp=sharing",1))</f>
        <v/>
      </c>
      <c r="D56" s="3" t="s">
        <v>102</v>
      </c>
      <c r="E56" s="2" t="str">
        <f>HYPERLINK("https://drive.google.com/file/d/18vt5PhP25M88bGY6XEV72zenEpaSIp1L/view?usp=sharing","The London West Hollywood Photography")</f>
        <v>The London West Hollywood Photography</v>
      </c>
    </row>
    <row r="57" ht="112.5" customHeight="1">
      <c r="A57" s="1" t="s">
        <v>31</v>
      </c>
      <c r="B57" s="1" t="s">
        <v>103</v>
      </c>
      <c r="C57" s="2" t="str">
        <f>HYPERLINK("https://docs.google.com/document/d/1a2RSd_zzJSSIuhu6-HK_jFkuxJXSmihqXO2esmI3tRg/edit?usp=sharing", IMAGE("https://api.qrserver.com/v1/create-qr-code/?size=150x150&amp;data=https://docs.google.com/document/d/1a2RSd_zzJSSIuhu6-HK_jFkuxJXSmihqXO2esmI3tRg/edit?usp=sharing",1))</f>
        <v/>
      </c>
      <c r="D57" s="3" t="s">
        <v>104</v>
      </c>
      <c r="E57" s="2" t="str">
        <f t="shared" ref="E57:E58" si="10">HYPERLINK("https://docs.google.com/document/d/1a2RSd_zzJSSIuhu6-HK_jFkuxJXSmihqXO2esmI3tRg/edit?usp=sharing","Soho House West Hollywood Marketing")</f>
        <v>Soho House West Hollywood Marketing</v>
      </c>
    </row>
    <row r="58" ht="112.5" customHeight="1">
      <c r="A58" s="1" t="s">
        <v>33</v>
      </c>
      <c r="B58" s="1" t="s">
        <v>105</v>
      </c>
      <c r="C58" s="2" t="str">
        <f>HYPERLINK("https://docs.google.com/document/d/1a2RSd_zzJSSIuhu6-HK_jFkuxJXSmihqXO2esmI3tRg/view", IMAGE("https://api.qrserver.com/v1/create-qr-code/?size=150x150&amp;data=https://docs.google.com/document/d/1a2RSd_zzJSSIuhu6-HK_jFkuxJXSmihqXO2esmI3tRg/view",1))</f>
        <v/>
      </c>
      <c r="D58" s="3" t="s">
        <v>106</v>
      </c>
      <c r="E58" s="2" t="str">
        <f t="shared" si="10"/>
        <v>Soho House West Hollywood Marketing</v>
      </c>
    </row>
    <row r="59" ht="112.5" customHeight="1">
      <c r="A59" s="1" t="s">
        <v>36</v>
      </c>
      <c r="B59" s="1" t="s">
        <v>103</v>
      </c>
      <c r="C59" s="2" t="str">
        <f>HYPERLINK("https://docs.google.com/presentation/d/12eZIQrSbEuR-x2q5Gv42TW4dvHsUslJA2Ftr-_aBqSw/edit?usp=sharing", IMAGE("https://api.qrserver.com/v1/create-qr-code/?size=150x150&amp;data=https://docs.google.com/presentation/d/12eZIQrSbEuR-x2q5Gv42TW4dvHsUslJA2Ftr-_aBqSw/edit?usp=sharing",1))</f>
        <v/>
      </c>
      <c r="D59" s="3" t="s">
        <v>107</v>
      </c>
      <c r="E59" s="2" t="str">
        <f t="shared" ref="E59:E61" si="11">HYPERLINK("https://docs.google.com/presentation/d/12eZIQrSbEuR-x2q5Gv42TW4dvHsUslJA2Ftr-_aBqSw/edit?usp=sharing","Soho House West Hollywood Marketing")</f>
        <v>Soho House West Hollywood Marketing</v>
      </c>
    </row>
    <row r="60" ht="112.5" customHeight="1">
      <c r="A60" s="1" t="s">
        <v>38</v>
      </c>
      <c r="B60" s="1" t="s">
        <v>105</v>
      </c>
      <c r="C60" s="2" t="str">
        <f>HYPERLINK("https://docs.google.com/presentation/d/12eZIQrSbEuR-x2q5Gv42TW4dvHsUslJA2Ftr-_aBqSw/view", IMAGE("https://api.qrserver.com/v1/create-qr-code/?size=150x150&amp;data=https://docs.google.com/presentation/d/12eZIQrSbEuR-x2q5Gv42TW4dvHsUslJA2Ftr-_aBqSw/view",1))</f>
        <v/>
      </c>
      <c r="D60" s="3" t="s">
        <v>108</v>
      </c>
      <c r="E60" s="2" t="str">
        <f t="shared" si="11"/>
        <v>Soho House West Hollywood Marketing</v>
      </c>
    </row>
    <row r="61" ht="112.5" customHeight="1">
      <c r="A61" s="1" t="s">
        <v>40</v>
      </c>
      <c r="B61" s="1" t="s">
        <v>109</v>
      </c>
      <c r="C61" s="2" t="str">
        <f>HYPERLINK("https://docs.google.com/presentation/d/12eZIQrSbEuR-x2q5Gv42TW4dvHsUslJA2Ftr-_aBqSw/htmlpresent", IMAGE("https://api.qrserver.com/v1/create-qr-code/?size=150x150&amp;data=https://docs.google.com/presentation/d/12eZIQrSbEuR-x2q5Gv42TW4dvHsUslJA2Ftr-_aBqSw/htmlpresent",1))</f>
        <v/>
      </c>
      <c r="D61" s="3" t="s">
        <v>110</v>
      </c>
      <c r="E61" s="2" t="str">
        <f t="shared" si="11"/>
        <v>Soho House West Hollywood Marketing</v>
      </c>
    </row>
    <row r="62" ht="112.5" customHeight="1">
      <c r="A62" s="1" t="s">
        <v>31</v>
      </c>
      <c r="B62" s="1" t="s">
        <v>111</v>
      </c>
      <c r="C62" s="2" t="str">
        <f>HYPERLINK("https://docs.google.com/document/d/19a08bLe1Xli3jxbQu1MtAJmmtmDRHU9xh5Se3K6iJTs/edit?usp=sharing", IMAGE("https://api.qrserver.com/v1/create-qr-code/?size=150x150&amp;data=https://docs.google.com/document/d/19a08bLe1Xli3jxbQu1MtAJmmtmDRHU9xh5Se3K6iJTs/edit?usp=sharing",1))</f>
        <v/>
      </c>
      <c r="D62" s="3" t="s">
        <v>112</v>
      </c>
      <c r="E62" s="2" t="str">
        <f t="shared" ref="E62:E63" si="12">HYPERLINK("https://docs.google.com/document/d/19a08bLe1Xli3jxbQu1MtAJmmtmDRHU9xh5Se3K6iJTs/edit?usp=sharing","Greystone Mansion Photo Marketing")</f>
        <v>Greystone Mansion Photo Marketing</v>
      </c>
    </row>
    <row r="63" ht="112.5" customHeight="1">
      <c r="A63" s="1" t="s">
        <v>33</v>
      </c>
      <c r="B63" s="1" t="s">
        <v>113</v>
      </c>
      <c r="C63" s="2" t="str">
        <f>HYPERLINK("https://docs.google.com/document/d/19a08bLe1Xli3jxbQu1MtAJmmtmDRHU9xh5Se3K6iJTs/view", IMAGE("https://api.qrserver.com/v1/create-qr-code/?size=150x150&amp;data=https://docs.google.com/document/d/19a08bLe1Xli3jxbQu1MtAJmmtmDRHU9xh5Se3K6iJTs/view",1))</f>
        <v/>
      </c>
      <c r="D63" s="3" t="s">
        <v>114</v>
      </c>
      <c r="E63" s="2" t="str">
        <f t="shared" si="12"/>
        <v>Greystone Mansion Photo Marketing</v>
      </c>
    </row>
    <row r="64" ht="112.5" customHeight="1">
      <c r="A64" s="1" t="s">
        <v>36</v>
      </c>
      <c r="B64" s="1" t="s">
        <v>111</v>
      </c>
      <c r="C64" s="2" t="str">
        <f>HYPERLINK("https://docs.google.com/presentation/d/18yMHhOJf9glGtb55lrc3Rel757Xk4DEMZXsrxsR5Ieo/edit?usp=sharing", IMAGE("https://api.qrserver.com/v1/create-qr-code/?size=150x150&amp;data=https://docs.google.com/presentation/d/18yMHhOJf9glGtb55lrc3Rel757Xk4DEMZXsrxsR5Ieo/edit?usp=sharing",1))</f>
        <v/>
      </c>
      <c r="D64" s="3" t="s">
        <v>115</v>
      </c>
      <c r="E64" s="2" t="str">
        <f t="shared" ref="E64:E66" si="13">HYPERLINK("https://docs.google.com/presentation/d/18yMHhOJf9glGtb55lrc3Rel757Xk4DEMZXsrxsR5Ieo/edit?usp=sharing","Greystone Mansion Photo Marketing")</f>
        <v>Greystone Mansion Photo Marketing</v>
      </c>
    </row>
    <row r="65" ht="112.5" customHeight="1">
      <c r="A65" s="1" t="s">
        <v>38</v>
      </c>
      <c r="B65" s="1" t="s">
        <v>113</v>
      </c>
      <c r="C65" s="2" t="str">
        <f>HYPERLINK("https://docs.google.com/presentation/d/18yMHhOJf9glGtb55lrc3Rel757Xk4DEMZXsrxsR5Ieo/view", IMAGE("https://api.qrserver.com/v1/create-qr-code/?size=150x150&amp;data=https://docs.google.com/presentation/d/18yMHhOJf9glGtb55lrc3Rel757Xk4DEMZXsrxsR5Ieo/view",1))</f>
        <v/>
      </c>
      <c r="D65" s="3" t="s">
        <v>116</v>
      </c>
      <c r="E65" s="2" t="str">
        <f t="shared" si="13"/>
        <v>Greystone Mansion Photo Marketing</v>
      </c>
    </row>
    <row r="66" ht="112.5" customHeight="1">
      <c r="A66" s="1" t="s">
        <v>40</v>
      </c>
      <c r="B66" s="1" t="s">
        <v>117</v>
      </c>
      <c r="C66" s="2" t="str">
        <f>HYPERLINK("https://docs.google.com/presentation/d/18yMHhOJf9glGtb55lrc3Rel757Xk4DEMZXsrxsR5Ieo/htmlpresent", IMAGE("https://api.qrserver.com/v1/create-qr-code/?size=150x150&amp;data=https://docs.google.com/presentation/d/18yMHhOJf9glGtb55lrc3Rel757Xk4DEMZXsrxsR5Ieo/htmlpresent",1))</f>
        <v/>
      </c>
      <c r="D66" s="3" t="s">
        <v>118</v>
      </c>
      <c r="E66" s="2" t="str">
        <f t="shared" si="13"/>
        <v>Greystone Mansion Photo Marketing</v>
      </c>
    </row>
    <row r="67" ht="112.5" customHeight="1">
      <c r="A67" s="1" t="s">
        <v>31</v>
      </c>
      <c r="B67" s="1" t="s">
        <v>101</v>
      </c>
      <c r="C67" s="2" t="str">
        <f>HYPERLINK("https://docs.google.com/document/d/18ebvjhY7K6G-sjMkQxqV8VmgoJ3gnWUxMDxq3hRyyxY/edit?usp=sharing", IMAGE("https://api.qrserver.com/v1/create-qr-code/?size=150x150&amp;data=https://docs.google.com/document/d/18ebvjhY7K6G-sjMkQxqV8VmgoJ3gnWUxMDxq3hRyyxY/edit?usp=sharing",1))</f>
        <v/>
      </c>
      <c r="D67" s="3" t="s">
        <v>119</v>
      </c>
      <c r="E67" s="2" t="str">
        <f t="shared" ref="E67:E68" si="14">HYPERLINK("https://docs.google.com/document/d/18ebvjhY7K6G-sjMkQxqV8VmgoJ3gnWUxMDxq3hRyyxY/edit?usp=sharing","The London West Hollywood Photography")</f>
        <v>The London West Hollywood Photography</v>
      </c>
    </row>
    <row r="68" ht="112.5" customHeight="1">
      <c r="A68" s="1" t="s">
        <v>33</v>
      </c>
      <c r="B68" s="1" t="s">
        <v>120</v>
      </c>
      <c r="C68" s="2" t="str">
        <f>HYPERLINK("https://docs.google.com/document/d/18ebvjhY7K6G-sjMkQxqV8VmgoJ3gnWUxMDxq3hRyyxY/view", IMAGE("https://api.qrserver.com/v1/create-qr-code/?size=150x150&amp;data=https://docs.google.com/document/d/18ebvjhY7K6G-sjMkQxqV8VmgoJ3gnWUxMDxq3hRyyxY/view",1))</f>
        <v/>
      </c>
      <c r="D68" s="3" t="s">
        <v>121</v>
      </c>
      <c r="E68" s="2" t="str">
        <f t="shared" si="14"/>
        <v>The London West Hollywood Photography</v>
      </c>
    </row>
    <row r="69" ht="112.5" customHeight="1">
      <c r="A69" s="1" t="s">
        <v>36</v>
      </c>
      <c r="B69" s="1" t="s">
        <v>101</v>
      </c>
      <c r="C69" s="2" t="str">
        <f>HYPERLINK("https://docs.google.com/presentation/d/1NvN5r0KhpKCFHWpdSRz2U0TPdhBhAdd0YeeuQOBPC-Y/edit?usp=sharing", IMAGE("https://api.qrserver.com/v1/create-qr-code/?size=150x150&amp;data=https://docs.google.com/presentation/d/1NvN5r0KhpKCFHWpdSRz2U0TPdhBhAdd0YeeuQOBPC-Y/edit?usp=sharing",1))</f>
        <v/>
      </c>
      <c r="D69" s="3" t="s">
        <v>122</v>
      </c>
      <c r="E69" s="2" t="str">
        <f t="shared" ref="E69:E71" si="15">HYPERLINK("https://docs.google.com/presentation/d/1NvN5r0KhpKCFHWpdSRz2U0TPdhBhAdd0YeeuQOBPC-Y/edit?usp=sharing","The London West Hollywood Photography")</f>
        <v>The London West Hollywood Photography</v>
      </c>
    </row>
    <row r="70" ht="112.5" customHeight="1">
      <c r="A70" s="1" t="s">
        <v>38</v>
      </c>
      <c r="B70" s="1" t="s">
        <v>120</v>
      </c>
      <c r="C70" s="2" t="str">
        <f>HYPERLINK("https://docs.google.com/presentation/d/1NvN5r0KhpKCFHWpdSRz2U0TPdhBhAdd0YeeuQOBPC-Y/view", IMAGE("https://api.qrserver.com/v1/create-qr-code/?size=150x150&amp;data=https://docs.google.com/presentation/d/1NvN5r0KhpKCFHWpdSRz2U0TPdhBhAdd0YeeuQOBPC-Y/view",1))</f>
        <v/>
      </c>
      <c r="D70" s="3" t="s">
        <v>123</v>
      </c>
      <c r="E70" s="2" t="str">
        <f t="shared" si="15"/>
        <v>The London West Hollywood Photography</v>
      </c>
    </row>
    <row r="71" ht="112.5" customHeight="1">
      <c r="A71" s="1" t="s">
        <v>40</v>
      </c>
      <c r="B71" s="1" t="s">
        <v>124</v>
      </c>
      <c r="C71" s="2" t="str">
        <f>HYPERLINK("https://docs.google.com/presentation/d/1NvN5r0KhpKCFHWpdSRz2U0TPdhBhAdd0YeeuQOBPC-Y/htmlpresent", IMAGE("https://api.qrserver.com/v1/create-qr-code/?size=150x150&amp;data=https://docs.google.com/presentation/d/1NvN5r0KhpKCFHWpdSRz2U0TPdhBhAdd0YeeuQOBPC-Y/htmlpresent",1))</f>
        <v/>
      </c>
      <c r="D71" s="3" t="s">
        <v>125</v>
      </c>
      <c r="E71" s="2" t="str">
        <f t="shared" si="15"/>
        <v>The London West Hollywood Photography</v>
      </c>
    </row>
    <row r="72" ht="112.5" customHeight="1">
      <c r="A72" s="1" t="s">
        <v>31</v>
      </c>
      <c r="B72" s="1" t="s">
        <v>126</v>
      </c>
      <c r="C72" s="2" t="str">
        <f>HYPERLINK("https://docs.google.com/document/d/17Kw8mIRmiXWZ4KES51sF4Gt26MpWE54ofJ5LlW-bOA4/edit?usp=sharing", IMAGE("https://api.qrserver.com/v1/create-qr-code/?size=150x150&amp;data=https://docs.google.com/document/d/17Kw8mIRmiXWZ4KES51sF4Gt26MpWE54ofJ5LlW-bOA4/edit?usp=sharing",1))</f>
        <v/>
      </c>
      <c r="D72" s="3" t="s">
        <v>127</v>
      </c>
      <c r="E72" s="2" t="str">
        <f t="shared" ref="E72:E73" si="16">HYPERLINK("https://docs.google.com/document/d/17Kw8mIRmiXWZ4KES51sF4Gt26MpWE54ofJ5LlW-bOA4/edit?usp=sharing","Hammer Museum Event Photography")</f>
        <v>Hammer Museum Event Photography</v>
      </c>
    </row>
    <row r="73" ht="112.5" customHeight="1">
      <c r="A73" s="1" t="s">
        <v>33</v>
      </c>
      <c r="B73" s="1" t="s">
        <v>128</v>
      </c>
      <c r="C73" s="2" t="str">
        <f>HYPERLINK("https://docs.google.com/document/d/17Kw8mIRmiXWZ4KES51sF4Gt26MpWE54ofJ5LlW-bOA4/view", IMAGE("https://api.qrserver.com/v1/create-qr-code/?size=150x150&amp;data=https://docs.google.com/document/d/17Kw8mIRmiXWZ4KES51sF4Gt26MpWE54ofJ5LlW-bOA4/view",1))</f>
        <v/>
      </c>
      <c r="D73" s="3" t="s">
        <v>129</v>
      </c>
      <c r="E73" s="2" t="str">
        <f t="shared" si="16"/>
        <v>Hammer Museum Event Photography</v>
      </c>
    </row>
    <row r="74" ht="112.5" customHeight="1">
      <c r="A74" s="1" t="s">
        <v>36</v>
      </c>
      <c r="B74" s="1" t="s">
        <v>126</v>
      </c>
      <c r="C74" s="2" t="str">
        <f>HYPERLINK("https://docs.google.com/presentation/d/17Wivqszccf4UdDYI50omSGz9dbgLdV54tJs84lMAUoc/edit?usp=sharing", IMAGE("https://api.qrserver.com/v1/create-qr-code/?size=150x150&amp;data=https://docs.google.com/presentation/d/17Wivqszccf4UdDYI50omSGz9dbgLdV54tJs84lMAUoc/edit?usp=sharing",1))</f>
        <v/>
      </c>
      <c r="D74" s="3" t="s">
        <v>130</v>
      </c>
      <c r="E74" s="2" t="str">
        <f t="shared" ref="E74:E76" si="17">HYPERLINK("https://docs.google.com/presentation/d/17Wivqszccf4UdDYI50omSGz9dbgLdV54tJs84lMAUoc/edit?usp=sharing","Hammer Museum Event Photography")</f>
        <v>Hammer Museum Event Photography</v>
      </c>
    </row>
    <row r="75" ht="112.5" customHeight="1">
      <c r="A75" s="1" t="s">
        <v>38</v>
      </c>
      <c r="B75" s="1" t="s">
        <v>128</v>
      </c>
      <c r="C75" s="2" t="str">
        <f>HYPERLINK("https://docs.google.com/presentation/d/17Wivqszccf4UdDYI50omSGz9dbgLdV54tJs84lMAUoc/view", IMAGE("https://api.qrserver.com/v1/create-qr-code/?size=150x150&amp;data=https://docs.google.com/presentation/d/17Wivqszccf4UdDYI50omSGz9dbgLdV54tJs84lMAUoc/view",1))</f>
        <v/>
      </c>
      <c r="D75" s="3" t="s">
        <v>131</v>
      </c>
      <c r="E75" s="2" t="str">
        <f t="shared" si="17"/>
        <v>Hammer Museum Event Photography</v>
      </c>
    </row>
    <row r="76" ht="112.5" customHeight="1">
      <c r="A76" s="1" t="s">
        <v>40</v>
      </c>
      <c r="B76" s="1" t="s">
        <v>132</v>
      </c>
      <c r="C76" s="2" t="str">
        <f>HYPERLINK("https://docs.google.com/presentation/d/17Wivqszccf4UdDYI50omSGz9dbgLdV54tJs84lMAUoc/htmlpresent", IMAGE("https://api.qrserver.com/v1/create-qr-code/?size=150x150&amp;data=https://docs.google.com/presentation/d/17Wivqszccf4UdDYI50omSGz9dbgLdV54tJs84lMAUoc/htmlpresent",1))</f>
        <v/>
      </c>
      <c r="D76" s="3" t="s">
        <v>133</v>
      </c>
      <c r="E76" s="2" t="str">
        <f t="shared" si="17"/>
        <v>Hammer Museum Event Photography</v>
      </c>
    </row>
    <row r="77" ht="112.5" customHeight="1">
      <c r="A77" s="1" t="s">
        <v>31</v>
      </c>
      <c r="B77" s="1" t="s">
        <v>134</v>
      </c>
      <c r="C77" s="2" t="str">
        <f>HYPERLINK("https://docs.google.com/document/d/1ywMBRVEdxOV-F7DU3PmOy6EzjHxOHCPAOl4FAGTaZzs/edit?usp=sharing", IMAGE("https://api.qrserver.com/v1/create-qr-code/?size=150x150&amp;data=https://docs.google.com/document/d/1ywMBRVEdxOV-F7DU3PmOy6EzjHxOHCPAOl4FAGTaZzs/edit?usp=sharing",1))</f>
        <v/>
      </c>
      <c r="D77" s="3" t="s">
        <v>135</v>
      </c>
      <c r="E77" s="2" t="str">
        <f t="shared" ref="E77:E78" si="18">HYPERLINK("https://docs.google.com/document/d/1ywMBRVEdxOV-F7DU3PmOy6EzjHxOHCPAOl4FAGTaZzs/edit?usp=sharing","Skirball Cultural Center Marketing")</f>
        <v>Skirball Cultural Center Marketing</v>
      </c>
    </row>
    <row r="78" ht="112.5" customHeight="1">
      <c r="A78" s="1" t="s">
        <v>33</v>
      </c>
      <c r="B78" s="1" t="s">
        <v>136</v>
      </c>
      <c r="C78" s="2" t="str">
        <f>HYPERLINK("https://docs.google.com/document/d/1ywMBRVEdxOV-F7DU3PmOy6EzjHxOHCPAOl4FAGTaZzs/view", IMAGE("https://api.qrserver.com/v1/create-qr-code/?size=150x150&amp;data=https://docs.google.com/document/d/1ywMBRVEdxOV-F7DU3PmOy6EzjHxOHCPAOl4FAGTaZzs/view",1))</f>
        <v/>
      </c>
      <c r="D78" s="3" t="s">
        <v>137</v>
      </c>
      <c r="E78" s="2" t="str">
        <f t="shared" si="18"/>
        <v>Skirball Cultural Center Marketing</v>
      </c>
    </row>
    <row r="79" ht="112.5" customHeight="1">
      <c r="A79" s="1" t="s">
        <v>36</v>
      </c>
      <c r="B79" s="1" t="s">
        <v>134</v>
      </c>
      <c r="C79" s="2" t="str">
        <f>HYPERLINK("https://docs.google.com/presentation/d/19d-jXD1uspn-XCwdW_0OwUQEtQdZ0EJexeEWfoy9-SI/edit?usp=sharing", IMAGE("https://api.qrserver.com/v1/create-qr-code/?size=150x150&amp;data=https://docs.google.com/presentation/d/19d-jXD1uspn-XCwdW_0OwUQEtQdZ0EJexeEWfoy9-SI/edit?usp=sharing",1))</f>
        <v/>
      </c>
      <c r="D79" s="3" t="s">
        <v>138</v>
      </c>
      <c r="E79" s="2" t="str">
        <f t="shared" ref="E79:E81" si="19">HYPERLINK("https://docs.google.com/presentation/d/19d-jXD1uspn-XCwdW_0OwUQEtQdZ0EJexeEWfoy9-SI/edit?usp=sharing","Skirball Cultural Center Marketing")</f>
        <v>Skirball Cultural Center Marketing</v>
      </c>
    </row>
    <row r="80" ht="112.5" customHeight="1">
      <c r="A80" s="1" t="s">
        <v>38</v>
      </c>
      <c r="B80" s="1" t="s">
        <v>136</v>
      </c>
      <c r="C80" s="2" t="str">
        <f>HYPERLINK("https://docs.google.com/presentation/d/19d-jXD1uspn-XCwdW_0OwUQEtQdZ0EJexeEWfoy9-SI/view", IMAGE("https://api.qrserver.com/v1/create-qr-code/?size=150x150&amp;data=https://docs.google.com/presentation/d/19d-jXD1uspn-XCwdW_0OwUQEtQdZ0EJexeEWfoy9-SI/view",1))</f>
        <v/>
      </c>
      <c r="D80" s="3" t="s">
        <v>139</v>
      </c>
      <c r="E80" s="2" t="str">
        <f t="shared" si="19"/>
        <v>Skirball Cultural Center Marketing</v>
      </c>
    </row>
    <row r="81" ht="112.5" customHeight="1">
      <c r="A81" s="1" t="s">
        <v>40</v>
      </c>
      <c r="B81" s="1" t="s">
        <v>140</v>
      </c>
      <c r="C81" s="2" t="str">
        <f>HYPERLINK("https://docs.google.com/presentation/d/19d-jXD1uspn-XCwdW_0OwUQEtQdZ0EJexeEWfoy9-SI/htmlpresent", IMAGE("https://api.qrserver.com/v1/create-qr-code/?size=150x150&amp;data=https://docs.google.com/presentation/d/19d-jXD1uspn-XCwdW_0OwUQEtQdZ0EJexeEWfoy9-SI/htmlpresent",1))</f>
        <v/>
      </c>
      <c r="D81" s="3" t="s">
        <v>141</v>
      </c>
      <c r="E81" s="2" t="str">
        <f t="shared" si="19"/>
        <v>Skirball Cultural Center Marketing</v>
      </c>
    </row>
    <row r="82" ht="112.5" customHeight="1">
      <c r="A82" s="1" t="s">
        <v>31</v>
      </c>
      <c r="B82" s="1" t="s">
        <v>142</v>
      </c>
      <c r="C82" s="2" t="str">
        <f>HYPERLINK("https://docs.google.com/document/d/1jaU6iRX4KREwD6hTLKH4ghdHOxuU-lrIWz-j-aGc_BA/edit?usp=sharing", IMAGE("https://api.qrserver.com/v1/create-qr-code/?size=150x150&amp;data=https://docs.google.com/document/d/1jaU6iRX4KREwD6hTLKH4ghdHOxuU-lrIWz-j-aGc_BA/edit?usp=sharing",1))</f>
        <v/>
      </c>
      <c r="D82" s="3" t="s">
        <v>143</v>
      </c>
      <c r="E82" s="2" t="str">
        <f t="shared" ref="E82:E83" si="20">HYPERLINK("https://docs.google.com/document/d/1jaU6iRX4KREwD6hTLKH4ghdHOxuU-lrIWz-j-aGc_BA/edit?usp=sharing","Vibiana Los Angeles Photo Marketing")</f>
        <v>Vibiana Los Angeles Photo Marketing</v>
      </c>
    </row>
    <row r="83" ht="112.5" customHeight="1">
      <c r="A83" s="1" t="s">
        <v>33</v>
      </c>
      <c r="B83" s="1" t="s">
        <v>144</v>
      </c>
      <c r="C83" s="2" t="str">
        <f>HYPERLINK("https://docs.google.com/document/d/1jaU6iRX4KREwD6hTLKH4ghdHOxuU-lrIWz-j-aGc_BA/view", IMAGE("https://api.qrserver.com/v1/create-qr-code/?size=150x150&amp;data=https://docs.google.com/document/d/1jaU6iRX4KREwD6hTLKH4ghdHOxuU-lrIWz-j-aGc_BA/view",1))</f>
        <v/>
      </c>
      <c r="D83" s="3" t="s">
        <v>145</v>
      </c>
      <c r="E83" s="2" t="str">
        <f t="shared" si="20"/>
        <v>Vibiana Los Angeles Photo Marketing</v>
      </c>
    </row>
    <row r="84" ht="112.5" customHeight="1">
      <c r="A84" s="1" t="s">
        <v>36</v>
      </c>
      <c r="B84" s="1" t="s">
        <v>142</v>
      </c>
      <c r="C84" s="2" t="str">
        <f>HYPERLINK("https://docs.google.com/presentation/d/1RefbJObYeu5p-9eCUaUKGEq1qXT87cpOeznA-BKwYE4/edit?usp=sharing", IMAGE("https://api.qrserver.com/v1/create-qr-code/?size=150x150&amp;data=https://docs.google.com/presentation/d/1RefbJObYeu5p-9eCUaUKGEq1qXT87cpOeznA-BKwYE4/edit?usp=sharing",1))</f>
        <v/>
      </c>
      <c r="D84" s="3" t="s">
        <v>146</v>
      </c>
      <c r="E84" s="2" t="str">
        <f t="shared" ref="E84:E86" si="21">HYPERLINK("https://docs.google.com/presentation/d/1RefbJObYeu5p-9eCUaUKGEq1qXT87cpOeznA-BKwYE4/edit?usp=sharing","Vibiana Los Angeles Photo Marketing")</f>
        <v>Vibiana Los Angeles Photo Marketing</v>
      </c>
    </row>
    <row r="85" ht="112.5" customHeight="1">
      <c r="A85" s="1" t="s">
        <v>38</v>
      </c>
      <c r="B85" s="1" t="s">
        <v>144</v>
      </c>
      <c r="C85" s="2" t="str">
        <f>HYPERLINK("https://docs.google.com/presentation/d/1RefbJObYeu5p-9eCUaUKGEq1qXT87cpOeznA-BKwYE4/view", IMAGE("https://api.qrserver.com/v1/create-qr-code/?size=150x150&amp;data=https://docs.google.com/presentation/d/1RefbJObYeu5p-9eCUaUKGEq1qXT87cpOeznA-BKwYE4/view",1))</f>
        <v/>
      </c>
      <c r="D85" s="3" t="s">
        <v>147</v>
      </c>
      <c r="E85" s="2" t="str">
        <f t="shared" si="21"/>
        <v>Vibiana Los Angeles Photo Marketing</v>
      </c>
    </row>
    <row r="86" ht="112.5" customHeight="1">
      <c r="A86" s="1" t="s">
        <v>40</v>
      </c>
      <c r="B86" s="1" t="s">
        <v>148</v>
      </c>
      <c r="C86" s="2" t="str">
        <f>HYPERLINK("https://docs.google.com/presentation/d/1RefbJObYeu5p-9eCUaUKGEq1qXT87cpOeznA-BKwYE4/htmlpresent", IMAGE("https://api.qrserver.com/v1/create-qr-code/?size=150x150&amp;data=https://docs.google.com/presentation/d/1RefbJObYeu5p-9eCUaUKGEq1qXT87cpOeznA-BKwYE4/htmlpresent",1))</f>
        <v/>
      </c>
      <c r="D86" s="3" t="s">
        <v>149</v>
      </c>
      <c r="E86" s="2" t="str">
        <f t="shared" si="21"/>
        <v>Vibiana Los Angeles Photo Marketing</v>
      </c>
    </row>
    <row r="87" ht="112.5" customHeight="1">
      <c r="A87" s="1" t="s">
        <v>19</v>
      </c>
      <c r="B87" s="1" t="s">
        <v>150</v>
      </c>
      <c r="C87" s="2" t="str">
        <f>HYPERLINK("https://drive.google.com/file/d/1vhRe_DzzVQkmCC_yc_HkqOReUvAlrZMF/view?usp=sharing", IMAGE("https://api.qrserver.com/v1/create-qr-code/?size=150x150&amp;data=https://drive.google.com/file/d/1vhRe_DzzVQkmCC_yc_HkqOReUvAlrZMF/view?usp=sharing",1))</f>
        <v/>
      </c>
      <c r="D87" s="3" t="s">
        <v>151</v>
      </c>
      <c r="E87" s="2" t="str">
        <f>HYPERLINK("https://drive.google.com/file/d/1vhRe_DzzVQkmCC_yc_HkqOReUvAlrZMF/view?usp=sharing","Lombardi House Marketing Photography")</f>
        <v>Lombardi House Marketing Photography</v>
      </c>
    </row>
    <row r="88" ht="112.5" customHeight="1">
      <c r="A88" s="1" t="s">
        <v>31</v>
      </c>
      <c r="B88" s="1" t="s">
        <v>152</v>
      </c>
      <c r="C88" s="2" t="str">
        <f>HYPERLINK("https://docs.google.com/document/d/1ijsUh2OuZcZQEGltIekt-Vd3ig4q3DQTD3hCwsgSEZc/edit?usp=sharing", IMAGE("https://api.qrserver.com/v1/create-qr-code/?size=150x150&amp;data=https://docs.google.com/document/d/1ijsUh2OuZcZQEGltIekt-Vd3ig4q3DQTD3hCwsgSEZc/edit?usp=sharing",1))</f>
        <v/>
      </c>
      <c r="D88" s="3" t="s">
        <v>153</v>
      </c>
      <c r="E88" s="2" t="str">
        <f t="shared" ref="E88:E89" si="22">HYPERLINK("https://docs.google.com/document/d/1ijsUh2OuZcZQEGltIekt-Vd3ig4q3DQTD3hCwsgSEZc/edit?usp=sharing","The Revery LA Event Photography")</f>
        <v>The Revery LA Event Photography</v>
      </c>
    </row>
    <row r="89" ht="112.5" customHeight="1">
      <c r="A89" s="1" t="s">
        <v>33</v>
      </c>
      <c r="B89" s="1" t="s">
        <v>154</v>
      </c>
      <c r="C89" s="2" t="str">
        <f>HYPERLINK("https://docs.google.com/document/d/1ijsUh2OuZcZQEGltIekt-Vd3ig4q3DQTD3hCwsgSEZc/view", IMAGE("https://api.qrserver.com/v1/create-qr-code/?size=150x150&amp;data=https://docs.google.com/document/d/1ijsUh2OuZcZQEGltIekt-Vd3ig4q3DQTD3hCwsgSEZc/view",1))</f>
        <v/>
      </c>
      <c r="D89" s="3" t="s">
        <v>155</v>
      </c>
      <c r="E89" s="2" t="str">
        <f t="shared" si="22"/>
        <v>The Revery LA Event Photography</v>
      </c>
    </row>
    <row r="90" ht="112.5" customHeight="1">
      <c r="A90" s="1" t="s">
        <v>36</v>
      </c>
      <c r="B90" s="1" t="s">
        <v>152</v>
      </c>
      <c r="C90" s="2" t="str">
        <f>HYPERLINK("https://docs.google.com/presentation/d/1BfNtGOjIZz6-pV4qdqJvHRHt3nD9zs4Xg71lq-gkFNM/edit?usp=sharing", IMAGE("https://api.qrserver.com/v1/create-qr-code/?size=150x150&amp;data=https://docs.google.com/presentation/d/1BfNtGOjIZz6-pV4qdqJvHRHt3nD9zs4Xg71lq-gkFNM/edit?usp=sharing",1))</f>
        <v/>
      </c>
      <c r="D90" s="3" t="s">
        <v>156</v>
      </c>
      <c r="E90" s="2" t="str">
        <f t="shared" ref="E90:E92" si="23">HYPERLINK("https://docs.google.com/presentation/d/1BfNtGOjIZz6-pV4qdqJvHRHt3nD9zs4Xg71lq-gkFNM/edit?usp=sharing","The Revery LA Event Photography")</f>
        <v>The Revery LA Event Photography</v>
      </c>
    </row>
    <row r="91" ht="112.5" customHeight="1">
      <c r="A91" s="1" t="s">
        <v>38</v>
      </c>
      <c r="B91" s="1" t="s">
        <v>154</v>
      </c>
      <c r="C91" s="2" t="str">
        <f>HYPERLINK("https://docs.google.com/presentation/d/1BfNtGOjIZz6-pV4qdqJvHRHt3nD9zs4Xg71lq-gkFNM/view", IMAGE("https://api.qrserver.com/v1/create-qr-code/?size=150x150&amp;data=https://docs.google.com/presentation/d/1BfNtGOjIZz6-pV4qdqJvHRHt3nD9zs4Xg71lq-gkFNM/view",1))</f>
        <v/>
      </c>
      <c r="D91" s="3" t="s">
        <v>157</v>
      </c>
      <c r="E91" s="2" t="str">
        <f t="shared" si="23"/>
        <v>The Revery LA Event Photography</v>
      </c>
    </row>
    <row r="92" ht="112.5" customHeight="1">
      <c r="A92" s="1" t="s">
        <v>40</v>
      </c>
      <c r="B92" s="1" t="s">
        <v>158</v>
      </c>
      <c r="C92" s="2" t="str">
        <f>HYPERLINK("https://docs.google.com/presentation/d/1BfNtGOjIZz6-pV4qdqJvHRHt3nD9zs4Xg71lq-gkFNM/htmlpresent", IMAGE("https://api.qrserver.com/v1/create-qr-code/?size=150x150&amp;data=https://docs.google.com/presentation/d/1BfNtGOjIZz6-pV4qdqJvHRHt3nD9zs4Xg71lq-gkFNM/htmlpresent",1))</f>
        <v/>
      </c>
      <c r="D92" s="3" t="s">
        <v>159</v>
      </c>
      <c r="E92" s="2" t="str">
        <f t="shared" si="23"/>
        <v>The Revery LA Event Photography</v>
      </c>
    </row>
    <row r="93" ht="112.5" customHeight="1">
      <c r="A93" s="1" t="s">
        <v>31</v>
      </c>
      <c r="B93" s="1" t="s">
        <v>160</v>
      </c>
      <c r="C93" s="2" t="str">
        <f>HYPERLINK("https://docs.google.com/document/d/1w12S9gOamRovAQasfcbhbNv8mY2YiKdUbH5DBmnubuM/edit?usp=sharing", IMAGE("https://api.qrserver.com/v1/create-qr-code/?size=150x150&amp;data=https://docs.google.com/document/d/1w12S9gOamRovAQasfcbhbNv8mY2YiKdUbH5DBmnubuM/edit?usp=sharing",1))</f>
        <v/>
      </c>
      <c r="D93" s="3" t="s">
        <v>161</v>
      </c>
      <c r="E93" s="2" t="str">
        <f t="shared" ref="E93:E94" si="24">HYPERLINK("https://docs.google.com/document/d/1w12S9gOamRovAQasfcbhbNv8mY2YiKdUbH5DBmnubuM/edit?usp=sharing","Pelican Hill Luxury Brand Photo")</f>
        <v>Pelican Hill Luxury Brand Photo</v>
      </c>
    </row>
    <row r="94" ht="112.5" customHeight="1">
      <c r="A94" s="1" t="s">
        <v>33</v>
      </c>
      <c r="B94" s="1" t="s">
        <v>162</v>
      </c>
      <c r="C94" s="2" t="str">
        <f>HYPERLINK("https://docs.google.com/document/d/1w12S9gOamRovAQasfcbhbNv8mY2YiKdUbH5DBmnubuM/view", IMAGE("https://api.qrserver.com/v1/create-qr-code/?size=150x150&amp;data=https://docs.google.com/document/d/1w12S9gOamRovAQasfcbhbNv8mY2YiKdUbH5DBmnubuM/view",1))</f>
        <v/>
      </c>
      <c r="D94" s="3" t="s">
        <v>163</v>
      </c>
      <c r="E94" s="2" t="str">
        <f t="shared" si="24"/>
        <v>Pelican Hill Luxury Brand Photo</v>
      </c>
    </row>
    <row r="95" ht="112.5" customHeight="1">
      <c r="A95" s="1" t="s">
        <v>36</v>
      </c>
      <c r="B95" s="1" t="s">
        <v>160</v>
      </c>
      <c r="C95" s="2" t="str">
        <f>HYPERLINK("https://docs.google.com/presentation/d/1lWS7aBihXSD6BotlyywEY9giAcz2pwejsyHu4zNGacM/edit?usp=sharing", IMAGE("https://api.qrserver.com/v1/create-qr-code/?size=150x150&amp;data=https://docs.google.com/presentation/d/1lWS7aBihXSD6BotlyywEY9giAcz2pwejsyHu4zNGacM/edit?usp=sharing",1))</f>
        <v/>
      </c>
      <c r="D95" s="3" t="s">
        <v>164</v>
      </c>
      <c r="E95" s="2" t="str">
        <f t="shared" ref="E95:E97" si="25">HYPERLINK("https://docs.google.com/presentation/d/1lWS7aBihXSD6BotlyywEY9giAcz2pwejsyHu4zNGacM/edit?usp=sharing","Pelican Hill Luxury Brand Photo")</f>
        <v>Pelican Hill Luxury Brand Photo</v>
      </c>
    </row>
    <row r="96" ht="112.5" customHeight="1">
      <c r="A96" s="1" t="s">
        <v>38</v>
      </c>
      <c r="B96" s="1" t="s">
        <v>162</v>
      </c>
      <c r="C96" s="2" t="str">
        <f>HYPERLINK("https://docs.google.com/presentation/d/1lWS7aBihXSD6BotlyywEY9giAcz2pwejsyHu4zNGacM/view", IMAGE("https://api.qrserver.com/v1/create-qr-code/?size=150x150&amp;data=https://docs.google.com/presentation/d/1lWS7aBihXSD6BotlyywEY9giAcz2pwejsyHu4zNGacM/view",1))</f>
        <v/>
      </c>
      <c r="D96" s="3" t="s">
        <v>165</v>
      </c>
      <c r="E96" s="2" t="str">
        <f t="shared" si="25"/>
        <v>Pelican Hill Luxury Brand Photo</v>
      </c>
    </row>
    <row r="97" ht="112.5" customHeight="1">
      <c r="A97" s="1" t="s">
        <v>40</v>
      </c>
      <c r="B97" s="1" t="s">
        <v>166</v>
      </c>
      <c r="C97" s="2" t="str">
        <f>HYPERLINK("https://docs.google.com/presentation/d/1lWS7aBihXSD6BotlyywEY9giAcz2pwejsyHu4zNGacM/htmlpresent", IMAGE("https://api.qrserver.com/v1/create-qr-code/?size=150x150&amp;data=https://docs.google.com/presentation/d/1lWS7aBihXSD6BotlyywEY9giAcz2pwejsyHu4zNGacM/htmlpresent",1))</f>
        <v/>
      </c>
      <c r="D97" s="3" t="s">
        <v>167</v>
      </c>
      <c r="E97" s="2" t="str">
        <f t="shared" si="25"/>
        <v>Pelican Hill Luxury Brand Photo</v>
      </c>
    </row>
    <row r="98" ht="112.5" customHeight="1">
      <c r="A98" s="1" t="s">
        <v>31</v>
      </c>
      <c r="B98" s="1" t="s">
        <v>150</v>
      </c>
      <c r="C98" s="2" t="str">
        <f>HYPERLINK("https://docs.google.com/document/d/1vMpo7g74qoF4tlQHiUeY3HAHRtFM8_thL-39ABV0JDg/edit?usp=sharing", IMAGE("https://api.qrserver.com/v1/create-qr-code/?size=150x150&amp;data=https://docs.google.com/document/d/1vMpo7g74qoF4tlQHiUeY3HAHRtFM8_thL-39ABV0JDg/edit?usp=sharing",1))</f>
        <v/>
      </c>
      <c r="D98" s="3" t="s">
        <v>168</v>
      </c>
      <c r="E98" s="2" t="str">
        <f t="shared" ref="E98:E99" si="26">HYPERLINK("https://docs.google.com/document/d/1vMpo7g74qoF4tlQHiUeY3HAHRtFM8_thL-39ABV0JDg/edit?usp=sharing","Lombardi House Marketing Photography")</f>
        <v>Lombardi House Marketing Photography</v>
      </c>
    </row>
    <row r="99" ht="112.5" customHeight="1">
      <c r="A99" s="1" t="s">
        <v>33</v>
      </c>
      <c r="B99" s="1" t="s">
        <v>169</v>
      </c>
      <c r="C99" s="2" t="str">
        <f>HYPERLINK("https://docs.google.com/document/d/1vMpo7g74qoF4tlQHiUeY3HAHRtFM8_thL-39ABV0JDg/view", IMAGE("https://api.qrserver.com/v1/create-qr-code/?size=150x150&amp;data=https://docs.google.com/document/d/1vMpo7g74qoF4tlQHiUeY3HAHRtFM8_thL-39ABV0JDg/view",1))</f>
        <v/>
      </c>
      <c r="D99" s="3" t="s">
        <v>170</v>
      </c>
      <c r="E99" s="2" t="str">
        <f t="shared" si="26"/>
        <v>Lombardi House Marketing Photography</v>
      </c>
    </row>
    <row r="100" ht="112.5" customHeight="1">
      <c r="A100" s="1" t="s">
        <v>36</v>
      </c>
      <c r="B100" s="1" t="s">
        <v>150</v>
      </c>
      <c r="C100" s="2" t="str">
        <f>HYPERLINK("https://docs.google.com/presentation/d/1aqR37Rsej2Jd6u5kVyrE3JVXxEMIGc0dsxp_D11Pkc4/edit?usp=sharing", IMAGE("https://api.qrserver.com/v1/create-qr-code/?size=150x150&amp;data=https://docs.google.com/presentation/d/1aqR37Rsej2Jd6u5kVyrE3JVXxEMIGc0dsxp_D11Pkc4/edit?usp=sharing",1))</f>
        <v/>
      </c>
      <c r="D100" s="3" t="s">
        <v>171</v>
      </c>
      <c r="E100" s="2" t="str">
        <f t="shared" ref="E100:E102" si="27">HYPERLINK("https://docs.google.com/presentation/d/1aqR37Rsej2Jd6u5kVyrE3JVXxEMIGc0dsxp_D11Pkc4/edit?usp=sharing","Lombardi House Marketing Photography")</f>
        <v>Lombardi House Marketing Photography</v>
      </c>
    </row>
    <row r="101" ht="112.5" customHeight="1">
      <c r="A101" s="1" t="s">
        <v>38</v>
      </c>
      <c r="B101" s="1" t="s">
        <v>169</v>
      </c>
      <c r="C101" s="2" t="str">
        <f>HYPERLINK("https://docs.google.com/presentation/d/1aqR37Rsej2Jd6u5kVyrE3JVXxEMIGc0dsxp_D11Pkc4/view", IMAGE("https://api.qrserver.com/v1/create-qr-code/?size=150x150&amp;data=https://docs.google.com/presentation/d/1aqR37Rsej2Jd6u5kVyrE3JVXxEMIGc0dsxp_D11Pkc4/view",1))</f>
        <v/>
      </c>
      <c r="D101" s="3" t="s">
        <v>172</v>
      </c>
      <c r="E101" s="2" t="str">
        <f t="shared" si="27"/>
        <v>Lombardi House Marketing Photography</v>
      </c>
    </row>
    <row r="102" ht="112.5" customHeight="1">
      <c r="A102" s="1" t="s">
        <v>40</v>
      </c>
      <c r="B102" s="1" t="s">
        <v>173</v>
      </c>
      <c r="C102" s="2" t="str">
        <f>HYPERLINK("https://docs.google.com/presentation/d/1aqR37Rsej2Jd6u5kVyrE3JVXxEMIGc0dsxp_D11Pkc4/htmlpresent", IMAGE("https://api.qrserver.com/v1/create-qr-code/?size=150x150&amp;data=https://docs.google.com/presentation/d/1aqR37Rsej2Jd6u5kVyrE3JVXxEMIGc0dsxp_D11Pkc4/htmlpresent",1))</f>
        <v/>
      </c>
      <c r="D102" s="3" t="s">
        <v>174</v>
      </c>
      <c r="E102" s="2" t="str">
        <f t="shared" si="27"/>
        <v>Lombardi House Marketing Photography</v>
      </c>
    </row>
    <row r="103" ht="112.5" customHeight="1">
      <c r="A103" s="1" t="s">
        <v>19</v>
      </c>
      <c r="B103" s="1" t="s">
        <v>175</v>
      </c>
      <c r="C103" s="2" t="str">
        <f>HYPERLINK("https://drive.google.com/file/d/1Pa2ux0PMnrJ7y7fVZuApgm9gZlGrCvkP/view?usp=sharing", IMAGE("https://api.qrserver.com/v1/create-qr-code/?size=150x150&amp;data=https://drive.google.com/file/d/1Pa2ux0PMnrJ7y7fVZuApgm9gZlGrCvkP/view?usp=sharing",1))</f>
        <v/>
      </c>
      <c r="D103" s="3" t="s">
        <v>176</v>
      </c>
      <c r="E103" s="2" t="str">
        <f>HYPERLINK("https://drive.google.com/file/d/1Pa2ux0PMnrJ7y7fVZuApgm9gZlGrCvkP/view?usp=sharing","Luxury Gala Photography Los Angeles")</f>
        <v>Luxury Gala Photography Los Angeles</v>
      </c>
    </row>
    <row r="104" ht="112.5" customHeight="1">
      <c r="A104" s="1" t="s">
        <v>31</v>
      </c>
      <c r="B104" s="1" t="s">
        <v>177</v>
      </c>
      <c r="C104" s="2" t="str">
        <f>HYPERLINK("https://docs.google.com/document/d/1oE3Zfitol1b31kZadqvsbg1PeT4wkkaWHx06BMeRqdE/edit?usp=sharing", IMAGE("https://api.qrserver.com/v1/create-qr-code/?size=150x150&amp;data=https://docs.google.com/document/d/1oE3Zfitol1b31kZadqvsbg1PeT4wkkaWHx06BMeRqdE/edit?usp=sharing",1))</f>
        <v/>
      </c>
      <c r="D104" s="3" t="s">
        <v>178</v>
      </c>
      <c r="E104" s="2" t="str">
        <f t="shared" ref="E104:E105" si="28">HYPERLINK("https://docs.google.com/document/d/1oE3Zfitol1b31kZadqvsbg1PeT4wkkaWHx06BMeRqdE/edit?usp=sharing","Hotel Per La Event Marketing")</f>
        <v>Hotel Per La Event Marketing</v>
      </c>
    </row>
    <row r="105" ht="112.5" customHeight="1">
      <c r="A105" s="1" t="s">
        <v>33</v>
      </c>
      <c r="B105" s="1" t="s">
        <v>179</v>
      </c>
      <c r="C105" s="2" t="str">
        <f>HYPERLINK("https://docs.google.com/document/d/1oE3Zfitol1b31kZadqvsbg1PeT4wkkaWHx06BMeRqdE/view", IMAGE("https://api.qrserver.com/v1/create-qr-code/?size=150x150&amp;data=https://docs.google.com/document/d/1oE3Zfitol1b31kZadqvsbg1PeT4wkkaWHx06BMeRqdE/view",1))</f>
        <v/>
      </c>
      <c r="D105" s="3" t="s">
        <v>180</v>
      </c>
      <c r="E105" s="2" t="str">
        <f t="shared" si="28"/>
        <v>Hotel Per La Event Marketing</v>
      </c>
    </row>
    <row r="106" ht="112.5" customHeight="1">
      <c r="A106" s="1" t="s">
        <v>36</v>
      </c>
      <c r="B106" s="1" t="s">
        <v>177</v>
      </c>
      <c r="C106" s="2" t="str">
        <f>HYPERLINK("https://docs.google.com/presentation/d/1bhlo-FHVyvSReZOWoOBvXKWitJaKEbtszC2uOaOXQfI/edit?usp=sharing", IMAGE("https://api.qrserver.com/v1/create-qr-code/?size=150x150&amp;data=https://docs.google.com/presentation/d/1bhlo-FHVyvSReZOWoOBvXKWitJaKEbtszC2uOaOXQfI/edit?usp=sharing",1))</f>
        <v/>
      </c>
      <c r="D106" s="3" t="s">
        <v>181</v>
      </c>
      <c r="E106" s="2" t="str">
        <f t="shared" ref="E106:E108" si="29">HYPERLINK("https://docs.google.com/presentation/d/1bhlo-FHVyvSReZOWoOBvXKWitJaKEbtszC2uOaOXQfI/edit?usp=sharing","Hotel Per La Event Marketing")</f>
        <v>Hotel Per La Event Marketing</v>
      </c>
    </row>
    <row r="107" ht="112.5" customHeight="1">
      <c r="A107" s="1" t="s">
        <v>38</v>
      </c>
      <c r="B107" s="1" t="s">
        <v>179</v>
      </c>
      <c r="C107" s="2" t="str">
        <f>HYPERLINK("https://docs.google.com/presentation/d/1bhlo-FHVyvSReZOWoOBvXKWitJaKEbtszC2uOaOXQfI/view", IMAGE("https://api.qrserver.com/v1/create-qr-code/?size=150x150&amp;data=https://docs.google.com/presentation/d/1bhlo-FHVyvSReZOWoOBvXKWitJaKEbtszC2uOaOXQfI/view",1))</f>
        <v/>
      </c>
      <c r="D107" s="3" t="s">
        <v>182</v>
      </c>
      <c r="E107" s="2" t="str">
        <f t="shared" si="29"/>
        <v>Hotel Per La Event Marketing</v>
      </c>
    </row>
    <row r="108" ht="112.5" customHeight="1">
      <c r="A108" s="1" t="s">
        <v>40</v>
      </c>
      <c r="B108" s="1" t="s">
        <v>183</v>
      </c>
      <c r="C108" s="2" t="str">
        <f>HYPERLINK("https://docs.google.com/presentation/d/1bhlo-FHVyvSReZOWoOBvXKWitJaKEbtszC2uOaOXQfI/htmlpresent", IMAGE("https://api.qrserver.com/v1/create-qr-code/?size=150x150&amp;data=https://docs.google.com/presentation/d/1bhlo-FHVyvSReZOWoOBvXKWitJaKEbtszC2uOaOXQfI/htmlpresent",1))</f>
        <v/>
      </c>
      <c r="D108" s="3" t="s">
        <v>184</v>
      </c>
      <c r="E108" s="2" t="str">
        <f t="shared" si="29"/>
        <v>Hotel Per La Event Marketing</v>
      </c>
    </row>
    <row r="109" ht="112.5" customHeight="1">
      <c r="A109" s="1" t="s">
        <v>31</v>
      </c>
      <c r="B109" s="1" t="s">
        <v>185</v>
      </c>
      <c r="C109" s="2" t="str">
        <f>HYPERLINK("https://docs.google.com/document/d/1po2hi9r8fGbthx1_VnTXYo3nEs29jNzVGPuI50ubUiQ/edit?usp=sharing", IMAGE("https://api.qrserver.com/v1/create-qr-code/?size=150x150&amp;data=https://docs.google.com/document/d/1po2hi9r8fGbthx1_VnTXYo3nEs29jNzVGPuI50ubUiQ/edit?usp=sharing",1))</f>
        <v/>
      </c>
      <c r="D109" s="3" t="s">
        <v>186</v>
      </c>
      <c r="E109" s="2" t="str">
        <f t="shared" ref="E109:E110" si="30">HYPERLINK("https://docs.google.com/document/d/1po2hi9r8fGbthx1_VnTXYo3nEs29jNzVGPuI50ubUiQ/edit?usp=sharing","High Net Worth Photography Services")</f>
        <v>High Net Worth Photography Services</v>
      </c>
    </row>
    <row r="110" ht="112.5" customHeight="1">
      <c r="A110" s="1" t="s">
        <v>33</v>
      </c>
      <c r="B110" s="1" t="s">
        <v>187</v>
      </c>
      <c r="C110" s="2" t="str">
        <f>HYPERLINK("https://docs.google.com/document/d/1po2hi9r8fGbthx1_VnTXYo3nEs29jNzVGPuI50ubUiQ/view", IMAGE("https://api.qrserver.com/v1/create-qr-code/?size=150x150&amp;data=https://docs.google.com/document/d/1po2hi9r8fGbthx1_VnTXYo3nEs29jNzVGPuI50ubUiQ/view",1))</f>
        <v/>
      </c>
      <c r="D110" s="3" t="s">
        <v>188</v>
      </c>
      <c r="E110" s="2" t="str">
        <f t="shared" si="30"/>
        <v>High Net Worth Photography Services</v>
      </c>
    </row>
    <row r="111" ht="112.5" customHeight="1">
      <c r="A111" s="1" t="s">
        <v>36</v>
      </c>
      <c r="B111" s="1" t="s">
        <v>185</v>
      </c>
      <c r="C111" s="2" t="str">
        <f>HYPERLINK("https://docs.google.com/presentation/d/1KPYplxTbTHDp1s2bya_iFvgLtO_dnoXiANUmqCwj6ek/edit?usp=sharing", IMAGE("https://api.qrserver.com/v1/create-qr-code/?size=150x150&amp;data=https://docs.google.com/presentation/d/1KPYplxTbTHDp1s2bya_iFvgLtO_dnoXiANUmqCwj6ek/edit?usp=sharing",1))</f>
        <v/>
      </c>
      <c r="D111" s="3" t="s">
        <v>189</v>
      </c>
      <c r="E111" s="2" t="str">
        <f t="shared" ref="E111:E113" si="31">HYPERLINK("https://docs.google.com/presentation/d/1KPYplxTbTHDp1s2bya_iFvgLtO_dnoXiANUmqCwj6ek/edit?usp=sharing","High Net Worth Photography Services")</f>
        <v>High Net Worth Photography Services</v>
      </c>
    </row>
    <row r="112" ht="112.5" customHeight="1">
      <c r="A112" s="1" t="s">
        <v>38</v>
      </c>
      <c r="B112" s="1" t="s">
        <v>187</v>
      </c>
      <c r="C112" s="2" t="str">
        <f>HYPERLINK("https://docs.google.com/presentation/d/1KPYplxTbTHDp1s2bya_iFvgLtO_dnoXiANUmqCwj6ek/view", IMAGE("https://api.qrserver.com/v1/create-qr-code/?size=150x150&amp;data=https://docs.google.com/presentation/d/1KPYplxTbTHDp1s2bya_iFvgLtO_dnoXiANUmqCwj6ek/view",1))</f>
        <v/>
      </c>
      <c r="D112" s="3" t="s">
        <v>190</v>
      </c>
      <c r="E112" s="2" t="str">
        <f t="shared" si="31"/>
        <v>High Net Worth Photography Services</v>
      </c>
    </row>
    <row r="113" ht="112.5" customHeight="1">
      <c r="A113" s="1" t="s">
        <v>40</v>
      </c>
      <c r="B113" s="1" t="s">
        <v>191</v>
      </c>
      <c r="C113" s="2" t="str">
        <f>HYPERLINK("https://docs.google.com/presentation/d/1KPYplxTbTHDp1s2bya_iFvgLtO_dnoXiANUmqCwj6ek/htmlpresent", IMAGE("https://api.qrserver.com/v1/create-qr-code/?size=150x150&amp;data=https://docs.google.com/presentation/d/1KPYplxTbTHDp1s2bya_iFvgLtO_dnoXiANUmqCwj6ek/htmlpresent",1))</f>
        <v/>
      </c>
      <c r="D113" s="3" t="s">
        <v>192</v>
      </c>
      <c r="E113" s="2" t="str">
        <f t="shared" si="31"/>
        <v>High Net Worth Photography Services</v>
      </c>
    </row>
    <row r="114" ht="112.5" customHeight="1">
      <c r="A114" s="1" t="s">
        <v>31</v>
      </c>
      <c r="B114" s="1" t="s">
        <v>175</v>
      </c>
      <c r="C114" s="2" t="str">
        <f>HYPERLINK("https://docs.google.com/document/d/1_GZC73ImG1AN6ltB-Uu9362cRjBB5WGSuSihBp0jsi0/edit?usp=sharing", IMAGE("https://api.qrserver.com/v1/create-qr-code/?size=150x150&amp;data=https://docs.google.com/document/d/1_GZC73ImG1AN6ltB-Uu9362cRjBB5WGSuSihBp0jsi0/edit?usp=sharing",1))</f>
        <v/>
      </c>
      <c r="D114" s="3" t="s">
        <v>193</v>
      </c>
      <c r="E114" s="2" t="str">
        <f t="shared" ref="E114:E115" si="32">HYPERLINK("https://docs.google.com/document/d/1_GZC73ImG1AN6ltB-Uu9362cRjBB5WGSuSihBp0jsi0/edit?usp=sharing","Luxury Gala Photography Los Angeles")</f>
        <v>Luxury Gala Photography Los Angeles</v>
      </c>
    </row>
    <row r="115" ht="112.5" customHeight="1">
      <c r="A115" s="1" t="s">
        <v>33</v>
      </c>
      <c r="B115" s="1" t="s">
        <v>194</v>
      </c>
      <c r="C115" s="2" t="str">
        <f>HYPERLINK("https://docs.google.com/document/d/1_GZC73ImG1AN6ltB-Uu9362cRjBB5WGSuSihBp0jsi0/view", IMAGE("https://api.qrserver.com/v1/create-qr-code/?size=150x150&amp;data=https://docs.google.com/document/d/1_GZC73ImG1AN6ltB-Uu9362cRjBB5WGSuSihBp0jsi0/view",1))</f>
        <v/>
      </c>
      <c r="D115" s="3" t="s">
        <v>195</v>
      </c>
      <c r="E115" s="2" t="str">
        <f t="shared" si="32"/>
        <v>Luxury Gala Photography Los Angeles</v>
      </c>
    </row>
    <row r="116" ht="112.5" customHeight="1">
      <c r="A116" s="1" t="s">
        <v>36</v>
      </c>
      <c r="B116" s="1" t="s">
        <v>175</v>
      </c>
      <c r="C116" s="2" t="str">
        <f>HYPERLINK("https://docs.google.com/presentation/d/1KxLpS4q8bXiOgqsPNEga9JOdcjCtAGeUDhq7PGnizYo/edit?usp=sharing", IMAGE("https://api.qrserver.com/v1/create-qr-code/?size=150x150&amp;data=https://docs.google.com/presentation/d/1KxLpS4q8bXiOgqsPNEga9JOdcjCtAGeUDhq7PGnizYo/edit?usp=sharing",1))</f>
        <v/>
      </c>
      <c r="D116" s="3" t="s">
        <v>196</v>
      </c>
      <c r="E116" s="2" t="str">
        <f t="shared" ref="E116:E118" si="33">HYPERLINK("https://docs.google.com/presentation/d/1KxLpS4q8bXiOgqsPNEga9JOdcjCtAGeUDhq7PGnizYo/edit?usp=sharing","Luxury Gala Photography Los Angeles")</f>
        <v>Luxury Gala Photography Los Angeles</v>
      </c>
    </row>
    <row r="117" ht="112.5" customHeight="1">
      <c r="A117" s="1" t="s">
        <v>38</v>
      </c>
      <c r="B117" s="1" t="s">
        <v>194</v>
      </c>
      <c r="C117" s="2" t="str">
        <f>HYPERLINK("https://docs.google.com/presentation/d/1KxLpS4q8bXiOgqsPNEga9JOdcjCtAGeUDhq7PGnizYo/view", IMAGE("https://api.qrserver.com/v1/create-qr-code/?size=150x150&amp;data=https://docs.google.com/presentation/d/1KxLpS4q8bXiOgqsPNEga9JOdcjCtAGeUDhq7PGnizYo/view",1))</f>
        <v/>
      </c>
      <c r="D117" s="3" t="s">
        <v>197</v>
      </c>
      <c r="E117" s="2" t="str">
        <f t="shared" si="33"/>
        <v>Luxury Gala Photography Los Angeles</v>
      </c>
    </row>
    <row r="118" ht="112.5" customHeight="1">
      <c r="A118" s="1" t="s">
        <v>40</v>
      </c>
      <c r="B118" s="1" t="s">
        <v>198</v>
      </c>
      <c r="C118" s="2" t="str">
        <f>HYPERLINK("https://docs.google.com/presentation/d/1KxLpS4q8bXiOgqsPNEga9JOdcjCtAGeUDhq7PGnizYo/htmlpresent", IMAGE("https://api.qrserver.com/v1/create-qr-code/?size=150x150&amp;data=https://docs.google.com/presentation/d/1KxLpS4q8bXiOgqsPNEga9JOdcjCtAGeUDhq7PGnizYo/htmlpresent",1))</f>
        <v/>
      </c>
      <c r="D118" s="3" t="s">
        <v>199</v>
      </c>
      <c r="E118" s="2" t="str">
        <f t="shared" si="33"/>
        <v>Luxury Gala Photography Los Angeles</v>
      </c>
    </row>
    <row r="119" ht="112.5" customHeight="1">
      <c r="A119" s="1" t="s">
        <v>19</v>
      </c>
      <c r="B119" s="1" t="s">
        <v>200</v>
      </c>
      <c r="C119" s="2" t="str">
        <f>HYPERLINK("https://drive.google.com/file/d/1Ck6QU1d9DDpRC53UzMW8HtbqWW1KH2o9/view?usp=sharing", IMAGE("https://api.qrserver.com/v1/create-qr-code/?size=150x150&amp;data=https://drive.google.com/file/d/1Ck6QU1d9DDpRC53UzMW8HtbqWW1KH2o9/view?usp=sharing",1))</f>
        <v/>
      </c>
      <c r="D119" s="3" t="s">
        <v>201</v>
      </c>
      <c r="E119" s="2" t="str">
        <f>HYPERLINK("https://drive.google.com/file/d/1Ck6QU1d9DDpRC53UzMW8HtbqWW1KH2o9/view?usp=sharing","Premium Visual Brand Strategy")</f>
        <v>Premium Visual Brand Strategy</v>
      </c>
    </row>
    <row r="120" ht="112.5" customHeight="1">
      <c r="A120" s="1" t="s">
        <v>31</v>
      </c>
      <c r="B120" s="1" t="s">
        <v>202</v>
      </c>
      <c r="C120" s="2" t="str">
        <f>HYPERLINK("https://docs.google.com/document/d/1cHtB5rpubS-TYcBOqYbRh_PpKJNp5wb_xEYts7PjV-Q/edit?usp=sharing", IMAGE("https://api.qrserver.com/v1/create-qr-code/?size=150x150&amp;data=https://docs.google.com/document/d/1cHtB5rpubS-TYcBOqYbRh_PpKJNp5wb_xEYts7PjV-Q/edit?usp=sharing",1))</f>
        <v/>
      </c>
      <c r="D120" s="3" t="s">
        <v>203</v>
      </c>
      <c r="E120" s="2" t="str">
        <f t="shared" ref="E120:E121" si="34">HYPERLINK("https://docs.google.com/document/d/1cHtB5rpubS-TYcBOqYbRh_PpKJNp5wb_xEYts7PjV-Q/edit?usp=sharing","Boutique Event Marketing Agency LA")</f>
        <v>Boutique Event Marketing Agency LA</v>
      </c>
    </row>
    <row r="121" ht="112.5" customHeight="1">
      <c r="A121" s="1" t="s">
        <v>33</v>
      </c>
      <c r="B121" s="1" t="s">
        <v>204</v>
      </c>
      <c r="C121" s="2" t="str">
        <f>HYPERLINK("https://docs.google.com/document/d/1cHtB5rpubS-TYcBOqYbRh_PpKJNp5wb_xEYts7PjV-Q/view", IMAGE("https://api.qrserver.com/v1/create-qr-code/?size=150x150&amp;data=https://docs.google.com/document/d/1cHtB5rpubS-TYcBOqYbRh_PpKJNp5wb_xEYts7PjV-Q/view",1))</f>
        <v/>
      </c>
      <c r="D121" s="3" t="s">
        <v>205</v>
      </c>
      <c r="E121" s="2" t="str">
        <f t="shared" si="34"/>
        <v>Boutique Event Marketing Agency LA</v>
      </c>
    </row>
    <row r="122" ht="112.5" customHeight="1">
      <c r="A122" s="1" t="s">
        <v>36</v>
      </c>
      <c r="B122" s="1" t="s">
        <v>202</v>
      </c>
      <c r="C122" s="2" t="str">
        <f>HYPERLINK("https://docs.google.com/presentation/d/1720FmjtVpwqyEdp96C17XI-85nycDidt1PVdgyzTO74/edit?usp=sharing", IMAGE("https://api.qrserver.com/v1/create-qr-code/?size=150x150&amp;data=https://docs.google.com/presentation/d/1720FmjtVpwqyEdp96C17XI-85nycDidt1PVdgyzTO74/edit?usp=sharing",1))</f>
        <v/>
      </c>
      <c r="D122" s="3" t="s">
        <v>206</v>
      </c>
      <c r="E122" s="2" t="str">
        <f t="shared" ref="E122:E124" si="35">HYPERLINK("https://docs.google.com/presentation/d/1720FmjtVpwqyEdp96C17XI-85nycDidt1PVdgyzTO74/edit?usp=sharing","Boutique Event Marketing Agency LA")</f>
        <v>Boutique Event Marketing Agency LA</v>
      </c>
    </row>
    <row r="123" ht="112.5" customHeight="1">
      <c r="A123" s="1" t="s">
        <v>38</v>
      </c>
      <c r="B123" s="1" t="s">
        <v>204</v>
      </c>
      <c r="C123" s="2" t="str">
        <f>HYPERLINK("https://docs.google.com/presentation/d/1720FmjtVpwqyEdp96C17XI-85nycDidt1PVdgyzTO74/view", IMAGE("https://api.qrserver.com/v1/create-qr-code/?size=150x150&amp;data=https://docs.google.com/presentation/d/1720FmjtVpwqyEdp96C17XI-85nycDidt1PVdgyzTO74/view",1))</f>
        <v/>
      </c>
      <c r="D123" s="3" t="s">
        <v>207</v>
      </c>
      <c r="E123" s="2" t="str">
        <f t="shared" si="35"/>
        <v>Boutique Event Marketing Agency LA</v>
      </c>
    </row>
    <row r="124" ht="112.5" customHeight="1">
      <c r="A124" s="1" t="s">
        <v>40</v>
      </c>
      <c r="B124" s="1" t="s">
        <v>208</v>
      </c>
      <c r="C124" s="2" t="str">
        <f>HYPERLINK("https://docs.google.com/presentation/d/1720FmjtVpwqyEdp96C17XI-85nycDidt1PVdgyzTO74/htmlpresent", IMAGE("https://api.qrserver.com/v1/create-qr-code/?size=150x150&amp;data=https://docs.google.com/presentation/d/1720FmjtVpwqyEdp96C17XI-85nycDidt1PVdgyzTO74/htmlpresent",1))</f>
        <v/>
      </c>
      <c r="D124" s="3" t="s">
        <v>209</v>
      </c>
      <c r="E124" s="2" t="str">
        <f t="shared" si="35"/>
        <v>Boutique Event Marketing Agency LA</v>
      </c>
    </row>
    <row r="125" ht="112.5" customHeight="1">
      <c r="A125" s="1" t="s">
        <v>31</v>
      </c>
      <c r="B125" s="1" t="s">
        <v>200</v>
      </c>
      <c r="C125" s="2" t="str">
        <f>HYPERLINK("https://docs.google.com/document/d/1W100JWMHvGZhjvnu5MSzoVeEp-0m_ayaZf4v8Sp9JQc/edit?usp=sharing", IMAGE("https://api.qrserver.com/v1/create-qr-code/?size=150x150&amp;data=https://docs.google.com/document/d/1W100JWMHvGZhjvnu5MSzoVeEp-0m_ayaZf4v8Sp9JQc/edit?usp=sharing",1))</f>
        <v/>
      </c>
      <c r="D125" s="3" t="s">
        <v>210</v>
      </c>
      <c r="E125" s="2" t="str">
        <f t="shared" ref="E125:E126" si="36">HYPERLINK("https://docs.google.com/document/d/1W100JWMHvGZhjvnu5MSzoVeEp-0m_ayaZf4v8Sp9JQc/edit?usp=sharing","Premium Visual Brand Strategy")</f>
        <v>Premium Visual Brand Strategy</v>
      </c>
    </row>
    <row r="126" ht="112.5" customHeight="1">
      <c r="A126" s="1" t="s">
        <v>33</v>
      </c>
      <c r="B126" s="1" t="s">
        <v>211</v>
      </c>
      <c r="C126" s="2" t="str">
        <f>HYPERLINK("https://docs.google.com/document/d/1W100JWMHvGZhjvnu5MSzoVeEp-0m_ayaZf4v8Sp9JQc/view", IMAGE("https://api.qrserver.com/v1/create-qr-code/?size=150x150&amp;data=https://docs.google.com/document/d/1W100JWMHvGZhjvnu5MSzoVeEp-0m_ayaZf4v8Sp9JQc/view",1))</f>
        <v/>
      </c>
      <c r="D126" s="3" t="s">
        <v>212</v>
      </c>
      <c r="E126" s="2" t="str">
        <f t="shared" si="36"/>
        <v>Premium Visual Brand Strategy</v>
      </c>
    </row>
    <row r="127" ht="112.5" customHeight="1">
      <c r="A127" s="1" t="s">
        <v>36</v>
      </c>
      <c r="B127" s="1" t="s">
        <v>200</v>
      </c>
      <c r="C127" s="2" t="str">
        <f>HYPERLINK("https://docs.google.com/presentation/d/1qZcaaULQEbzhqUuo_TODrAjLLT1UXc9jvSUTgG-zmsQ/edit?usp=sharing", IMAGE("https://api.qrserver.com/v1/create-qr-code/?size=150x150&amp;data=https://docs.google.com/presentation/d/1qZcaaULQEbzhqUuo_TODrAjLLT1UXc9jvSUTgG-zmsQ/edit?usp=sharing",1))</f>
        <v/>
      </c>
      <c r="D127" s="3" t="s">
        <v>213</v>
      </c>
      <c r="E127" s="2" t="str">
        <f t="shared" ref="E127:E129" si="37">HYPERLINK("https://docs.google.com/presentation/d/1qZcaaULQEbzhqUuo_TODrAjLLT1UXc9jvSUTgG-zmsQ/edit?usp=sharing","Premium Visual Brand Strategy")</f>
        <v>Premium Visual Brand Strategy</v>
      </c>
    </row>
    <row r="128" ht="112.5" customHeight="1">
      <c r="A128" s="1" t="s">
        <v>38</v>
      </c>
      <c r="B128" s="1" t="s">
        <v>211</v>
      </c>
      <c r="C128" s="2" t="str">
        <f>HYPERLINK("https://docs.google.com/presentation/d/1qZcaaULQEbzhqUuo_TODrAjLLT1UXc9jvSUTgG-zmsQ/view", IMAGE("https://api.qrserver.com/v1/create-qr-code/?size=150x150&amp;data=https://docs.google.com/presentation/d/1qZcaaULQEbzhqUuo_TODrAjLLT1UXc9jvSUTgG-zmsQ/view",1))</f>
        <v/>
      </c>
      <c r="D128" s="3" t="s">
        <v>214</v>
      </c>
      <c r="E128" s="2" t="str">
        <f t="shared" si="37"/>
        <v>Premium Visual Brand Strategy</v>
      </c>
    </row>
    <row r="129" ht="112.5" customHeight="1">
      <c r="A129" s="1" t="s">
        <v>40</v>
      </c>
      <c r="B129" s="1" t="s">
        <v>215</v>
      </c>
      <c r="C129" s="2" t="str">
        <f>HYPERLINK("https://docs.google.com/presentation/d/1qZcaaULQEbzhqUuo_TODrAjLLT1UXc9jvSUTgG-zmsQ/htmlpresent", IMAGE("https://api.qrserver.com/v1/create-qr-code/?size=150x150&amp;data=https://docs.google.com/presentation/d/1qZcaaULQEbzhqUuo_TODrAjLLT1UXc9jvSUTgG-zmsQ/htmlpresent",1))</f>
        <v/>
      </c>
      <c r="D129" s="3" t="s">
        <v>216</v>
      </c>
      <c r="E129" s="2" t="str">
        <f t="shared" si="37"/>
        <v>Premium Visual Brand Strategy</v>
      </c>
    </row>
    <row r="130" ht="112.5" customHeight="1">
      <c r="A130" s="1" t="s">
        <v>31</v>
      </c>
      <c r="B130" s="1" t="s">
        <v>217</v>
      </c>
      <c r="C130" s="2" t="str">
        <f>HYPERLINK("https://docs.google.com/document/d/1isFS_XkuLo1qVb7sZndg_DX4GGjCZWwZN-B7RoQ8N9Y/edit?usp=sharing", IMAGE("https://api.qrserver.com/v1/create-qr-code/?size=150x150&amp;data=https://docs.google.com/document/d/1isFS_XkuLo1qVb7sZndg_DX4GGjCZWwZN-B7RoQ8N9Y/edit?usp=sharing",1))</f>
        <v/>
      </c>
      <c r="D130" s="3" t="s">
        <v>218</v>
      </c>
      <c r="E130" s="2" t="str">
        <f t="shared" ref="E130:E131" si="38">HYPERLINK("https://docs.google.com/document/d/1isFS_XkuLo1qVb7sZndg_DX4GGjCZWwZN-B7RoQ8N9Y/edit?usp=sharing","Private Estate Event Photography")</f>
        <v>Private Estate Event Photography</v>
      </c>
    </row>
    <row r="131" ht="112.5" customHeight="1">
      <c r="A131" s="1" t="s">
        <v>33</v>
      </c>
      <c r="B131" s="1" t="s">
        <v>219</v>
      </c>
      <c r="C131" s="2" t="str">
        <f>HYPERLINK("https://docs.google.com/document/d/1isFS_XkuLo1qVb7sZndg_DX4GGjCZWwZN-B7RoQ8N9Y/view", IMAGE("https://api.qrserver.com/v1/create-qr-code/?size=150x150&amp;data=https://docs.google.com/document/d/1isFS_XkuLo1qVb7sZndg_DX4GGjCZWwZN-B7RoQ8N9Y/view",1))</f>
        <v/>
      </c>
      <c r="D131" s="3" t="s">
        <v>220</v>
      </c>
      <c r="E131" s="2" t="str">
        <f t="shared" si="38"/>
        <v>Private Estate Event Photography</v>
      </c>
    </row>
    <row r="132" ht="112.5" customHeight="1">
      <c r="A132" s="1" t="s">
        <v>36</v>
      </c>
      <c r="B132" s="1" t="s">
        <v>217</v>
      </c>
      <c r="C132" s="2" t="str">
        <f>HYPERLINK("https://docs.google.com/presentation/d/1Ye_ED7N05CdPK0k350ZRMGAI6igBsHcTb1VGH9XWJVI/edit?usp=sharing", IMAGE("https://api.qrserver.com/v1/create-qr-code/?size=150x150&amp;data=https://docs.google.com/presentation/d/1Ye_ED7N05CdPK0k350ZRMGAI6igBsHcTb1VGH9XWJVI/edit?usp=sharing",1))</f>
        <v/>
      </c>
      <c r="D132" s="3" t="s">
        <v>221</v>
      </c>
      <c r="E132" s="2" t="str">
        <f t="shared" ref="E132:E134" si="39">HYPERLINK("https://docs.google.com/presentation/d/1Ye_ED7N05CdPK0k350ZRMGAI6igBsHcTb1VGH9XWJVI/edit?usp=sharing","Private Estate Event Photography")</f>
        <v>Private Estate Event Photography</v>
      </c>
    </row>
    <row r="133" ht="112.5" customHeight="1">
      <c r="A133" s="1" t="s">
        <v>38</v>
      </c>
      <c r="B133" s="1" t="s">
        <v>219</v>
      </c>
      <c r="C133" s="2" t="str">
        <f>HYPERLINK("https://docs.google.com/presentation/d/1Ye_ED7N05CdPK0k350ZRMGAI6igBsHcTb1VGH9XWJVI/view", IMAGE("https://api.qrserver.com/v1/create-qr-code/?size=150x150&amp;data=https://docs.google.com/presentation/d/1Ye_ED7N05CdPK0k350ZRMGAI6igBsHcTb1VGH9XWJVI/view",1))</f>
        <v/>
      </c>
      <c r="D133" s="3" t="s">
        <v>222</v>
      </c>
      <c r="E133" s="2" t="str">
        <f t="shared" si="39"/>
        <v>Private Estate Event Photography</v>
      </c>
    </row>
    <row r="134" ht="112.5" customHeight="1">
      <c r="A134" s="1" t="s">
        <v>40</v>
      </c>
      <c r="B134" s="1" t="s">
        <v>223</v>
      </c>
      <c r="C134" s="2" t="str">
        <f>HYPERLINK("https://docs.google.com/presentation/d/1Ye_ED7N05CdPK0k350ZRMGAI6igBsHcTb1VGH9XWJVI/htmlpresent", IMAGE("https://api.qrserver.com/v1/create-qr-code/?size=150x150&amp;data=https://docs.google.com/presentation/d/1Ye_ED7N05CdPK0k350ZRMGAI6igBsHcTb1VGH9XWJVI/htmlpresent",1))</f>
        <v/>
      </c>
      <c r="D134" s="3" t="s">
        <v>224</v>
      </c>
      <c r="E134" s="2" t="str">
        <f t="shared" si="39"/>
        <v>Private Estate Event Photography</v>
      </c>
    </row>
    <row r="135" ht="112.5" customHeight="1">
      <c r="A135" s="1" t="s">
        <v>19</v>
      </c>
      <c r="B135" s="1" t="s">
        <v>225</v>
      </c>
      <c r="C135" s="2" t="str">
        <f>HYPERLINK("https://drive.google.com/file/d/1hlgZVFJ3V3V-ERCUaCNvJw98H_luDtzC/view?usp=sharing", IMAGE("https://api.qrserver.com/v1/create-qr-code/?size=150x150&amp;data=https://drive.google.com/file/d/1hlgZVFJ3V3V-ERCUaCNvJw98H_luDtzC/view?usp=sharing",1))</f>
        <v/>
      </c>
      <c r="D135" s="3" t="s">
        <v>226</v>
      </c>
      <c r="E135" s="2" t="str">
        <f>HYPERLINK("https://drive.google.com/file/d/1hlgZVFJ3V3V-ERCUaCNvJw98H_luDtzC/view?usp=sharing","Elite Corporate Event Marketing")</f>
        <v>Elite Corporate Event Marketing</v>
      </c>
    </row>
    <row r="136" ht="112.5" customHeight="1">
      <c r="A136" s="1" t="s">
        <v>31</v>
      </c>
      <c r="B136" s="1" t="s">
        <v>225</v>
      </c>
      <c r="C136" s="2" t="str">
        <f>HYPERLINK("https://docs.google.com/document/d/1MKc54RBVYXRZOu8W1gmeBcxcFkp23F8AjO12b79rQZM/edit?usp=sharing", IMAGE("https://api.qrserver.com/v1/create-qr-code/?size=150x150&amp;data=https://docs.google.com/document/d/1MKc54RBVYXRZOu8W1gmeBcxcFkp23F8AjO12b79rQZM/edit?usp=sharing",1))</f>
        <v/>
      </c>
      <c r="D136" s="3" t="s">
        <v>227</v>
      </c>
      <c r="E136" s="2" t="str">
        <f t="shared" ref="E136:E137" si="40">HYPERLINK("https://docs.google.com/document/d/1MKc54RBVYXRZOu8W1gmeBcxcFkp23F8AjO12b79rQZM/edit?usp=sharing","Elite Corporate Event Marketing")</f>
        <v>Elite Corporate Event Marketing</v>
      </c>
    </row>
    <row r="137" ht="112.5" customHeight="1">
      <c r="A137" s="1" t="s">
        <v>33</v>
      </c>
      <c r="B137" s="1" t="s">
        <v>228</v>
      </c>
      <c r="C137" s="2" t="str">
        <f>HYPERLINK("https://docs.google.com/document/d/1MKc54RBVYXRZOu8W1gmeBcxcFkp23F8AjO12b79rQZM/view", IMAGE("https://api.qrserver.com/v1/create-qr-code/?size=150x150&amp;data=https://docs.google.com/document/d/1MKc54RBVYXRZOu8W1gmeBcxcFkp23F8AjO12b79rQZM/view",1))</f>
        <v/>
      </c>
      <c r="D137" s="3" t="s">
        <v>229</v>
      </c>
      <c r="E137" s="2" t="str">
        <f t="shared" si="40"/>
        <v>Elite Corporate Event Marketing</v>
      </c>
    </row>
    <row r="138" ht="112.5" customHeight="1">
      <c r="A138" s="1" t="s">
        <v>36</v>
      </c>
      <c r="B138" s="1" t="s">
        <v>225</v>
      </c>
      <c r="C138" s="2" t="str">
        <f>HYPERLINK("https://docs.google.com/presentation/d/1ODwg4Dhl_C7BltMqgWMZExoL3KWm7ixlWwt4Hl6kOYA/edit?usp=sharing", IMAGE("https://api.qrserver.com/v1/create-qr-code/?size=150x150&amp;data=https://docs.google.com/presentation/d/1ODwg4Dhl_C7BltMqgWMZExoL3KWm7ixlWwt4Hl6kOYA/edit?usp=sharing",1))</f>
        <v/>
      </c>
      <c r="D138" s="3" t="s">
        <v>230</v>
      </c>
      <c r="E138" s="2" t="str">
        <f t="shared" ref="E138:E140" si="41">HYPERLINK("https://docs.google.com/presentation/d/1ODwg4Dhl_C7BltMqgWMZExoL3KWm7ixlWwt4Hl6kOYA/edit?usp=sharing","Elite Corporate Event Marketing")</f>
        <v>Elite Corporate Event Marketing</v>
      </c>
    </row>
    <row r="139" ht="112.5" customHeight="1">
      <c r="A139" s="1" t="s">
        <v>38</v>
      </c>
      <c r="B139" s="1" t="s">
        <v>228</v>
      </c>
      <c r="C139" s="2" t="str">
        <f>HYPERLINK("https://docs.google.com/presentation/d/1ODwg4Dhl_C7BltMqgWMZExoL3KWm7ixlWwt4Hl6kOYA/view", IMAGE("https://api.qrserver.com/v1/create-qr-code/?size=150x150&amp;data=https://docs.google.com/presentation/d/1ODwg4Dhl_C7BltMqgWMZExoL3KWm7ixlWwt4Hl6kOYA/view",1))</f>
        <v/>
      </c>
      <c r="D139" s="3" t="s">
        <v>231</v>
      </c>
      <c r="E139" s="2" t="str">
        <f t="shared" si="41"/>
        <v>Elite Corporate Event Marketing</v>
      </c>
    </row>
    <row r="140" ht="112.5" customHeight="1">
      <c r="A140" s="1" t="s">
        <v>40</v>
      </c>
      <c r="B140" s="1" t="s">
        <v>232</v>
      </c>
      <c r="C140" s="2" t="str">
        <f>HYPERLINK("https://docs.google.com/presentation/d/1ODwg4Dhl_C7BltMqgWMZExoL3KWm7ixlWwt4Hl6kOYA/htmlpresent", IMAGE("https://api.qrserver.com/v1/create-qr-code/?size=150x150&amp;data=https://docs.google.com/presentation/d/1ODwg4Dhl_C7BltMqgWMZExoL3KWm7ixlWwt4Hl6kOYA/htmlpresent",1))</f>
        <v/>
      </c>
      <c r="D140" s="3" t="s">
        <v>233</v>
      </c>
      <c r="E140" s="2" t="str">
        <f t="shared" si="41"/>
        <v>Elite Corporate Event Marketing</v>
      </c>
    </row>
    <row r="141" ht="112.5" customHeight="1">
      <c r="A141" s="1" t="s">
        <v>31</v>
      </c>
      <c r="B141" s="1" t="s">
        <v>234</v>
      </c>
      <c r="C141" s="2" t="str">
        <f>HYPERLINK("https://docs.google.com/document/d/1N_WmnXk_EKrmi--waoyp9BL8DzcU3hXPOsPLIhPyqQI/edit?usp=sharing", IMAGE("https://api.qrserver.com/v1/create-qr-code/?size=150x150&amp;data=https://docs.google.com/document/d/1N_WmnXk_EKrmi--waoyp9BL8DzcU3hXPOsPLIhPyqQI/edit?usp=sharing",1))</f>
        <v/>
      </c>
      <c r="D141" s="3" t="s">
        <v>235</v>
      </c>
      <c r="E141" s="2" t="str">
        <f t="shared" ref="E141:E142" si="42">HYPERLINK("https://docs.google.com/document/d/1N_WmnXk_EKrmi--waoyp9BL8DzcU3hXPOsPLIhPyqQI/edit?usp=sharing","Ultra Luxury Brand Activation LA")</f>
        <v>Ultra Luxury Brand Activation LA</v>
      </c>
    </row>
    <row r="142" ht="112.5" customHeight="1">
      <c r="A142" s="1" t="s">
        <v>33</v>
      </c>
      <c r="B142" s="1" t="s">
        <v>236</v>
      </c>
      <c r="C142" s="2" t="str">
        <f>HYPERLINK("https://docs.google.com/document/d/1N_WmnXk_EKrmi--waoyp9BL8DzcU3hXPOsPLIhPyqQI/view", IMAGE("https://api.qrserver.com/v1/create-qr-code/?size=150x150&amp;data=https://docs.google.com/document/d/1N_WmnXk_EKrmi--waoyp9BL8DzcU3hXPOsPLIhPyqQI/view",1))</f>
        <v/>
      </c>
      <c r="D142" s="3" t="s">
        <v>237</v>
      </c>
      <c r="E142" s="2" t="str">
        <f t="shared" si="42"/>
        <v>Ultra Luxury Brand Activation LA</v>
      </c>
    </row>
    <row r="143" ht="112.5" customHeight="1">
      <c r="A143" s="1" t="s">
        <v>36</v>
      </c>
      <c r="B143" s="1" t="s">
        <v>234</v>
      </c>
      <c r="C143" s="2" t="str">
        <f>HYPERLINK("https://docs.google.com/presentation/d/1Gx5m3qh53cq8CG9jhSO1RgNzwltLY-5pM-LkN-fIgl8/edit?usp=sharing", IMAGE("https://api.qrserver.com/v1/create-qr-code/?size=150x150&amp;data=https://docs.google.com/presentation/d/1Gx5m3qh53cq8CG9jhSO1RgNzwltLY-5pM-LkN-fIgl8/edit?usp=sharing",1))</f>
        <v/>
      </c>
      <c r="D143" s="3" t="s">
        <v>238</v>
      </c>
      <c r="E143" s="2" t="str">
        <f t="shared" ref="E143:E145" si="43">HYPERLINK("https://docs.google.com/presentation/d/1Gx5m3qh53cq8CG9jhSO1RgNzwltLY-5pM-LkN-fIgl8/edit?usp=sharing","Ultra Luxury Brand Activation LA")</f>
        <v>Ultra Luxury Brand Activation LA</v>
      </c>
    </row>
    <row r="144" ht="112.5" customHeight="1">
      <c r="A144" s="1" t="s">
        <v>38</v>
      </c>
      <c r="B144" s="1" t="s">
        <v>236</v>
      </c>
      <c r="C144" s="2" t="str">
        <f>HYPERLINK("https://docs.google.com/presentation/d/1Gx5m3qh53cq8CG9jhSO1RgNzwltLY-5pM-LkN-fIgl8/view", IMAGE("https://api.qrserver.com/v1/create-qr-code/?size=150x150&amp;data=https://docs.google.com/presentation/d/1Gx5m3qh53cq8CG9jhSO1RgNzwltLY-5pM-LkN-fIgl8/view",1))</f>
        <v/>
      </c>
      <c r="D144" s="3" t="s">
        <v>239</v>
      </c>
      <c r="E144" s="2" t="str">
        <f t="shared" si="43"/>
        <v>Ultra Luxury Brand Activation LA</v>
      </c>
    </row>
    <row r="145" ht="112.5" customHeight="1">
      <c r="A145" s="1" t="s">
        <v>40</v>
      </c>
      <c r="B145" s="1" t="s">
        <v>240</v>
      </c>
      <c r="C145" s="2" t="str">
        <f>HYPERLINK("https://docs.google.com/presentation/d/1Gx5m3qh53cq8CG9jhSO1RgNzwltLY-5pM-LkN-fIgl8/htmlpresent", IMAGE("https://api.qrserver.com/v1/create-qr-code/?size=150x150&amp;data=https://docs.google.com/presentation/d/1Gx5m3qh53cq8CG9jhSO1RgNzwltLY-5pM-LkN-fIgl8/htmlpresent",1))</f>
        <v/>
      </c>
      <c r="D145" s="3" t="s">
        <v>241</v>
      </c>
      <c r="E145" s="2" t="str">
        <f t="shared" si="43"/>
        <v>Ultra Luxury Brand Activation LA</v>
      </c>
    </row>
    <row r="146">
      <c r="A146" s="1" t="s">
        <v>242</v>
      </c>
      <c r="B146" s="1" t="s">
        <v>243</v>
      </c>
      <c r="D146" s="3" t="s">
        <v>244</v>
      </c>
      <c r="E146" s="2" t="str">
        <f>HYPERLINK("https://drive.google.com/drive/folders/1tZK-JKJU6Yjk13Enn-2Jz_xmPiFwm78D?usp=sharing","The Beverly Hills Hotel Event Marketing HTML")</f>
        <v>The Beverly Hills Hotel Event Marketing HTML</v>
      </c>
    </row>
    <row r="147">
      <c r="A147" s="1" t="s">
        <v>245</v>
      </c>
      <c r="B147" s="1" t="s">
        <v>246</v>
      </c>
      <c r="D147" s="3" t="s">
        <v>247</v>
      </c>
      <c r="E147" s="2" t="str">
        <f>HYPERLINK("https://drive.google.com/file/d/1rhLRcFQLhxybwgZaYUQgqLiM6lulcmHK/view?usp=sharing","The-Beverly-Hills-Hotel-Event-Marketing.html")</f>
        <v>The-Beverly-Hills-Hotel-Event-Marketing.html</v>
      </c>
    </row>
    <row r="148">
      <c r="A148" s="1" t="s">
        <v>245</v>
      </c>
      <c r="B148" s="1" t="s">
        <v>248</v>
      </c>
      <c r="D148" s="3" t="s">
        <v>249</v>
      </c>
      <c r="E148" s="2" t="str">
        <f>HYPERLINK("https://drive.google.com/file/d/1BBSXXhq8Qw8NWfR--eVuEr7GMLsUyV0g/view?usp=sharing","Waldorf-Astoria-Beverly-Hills-Photo-The-Beverly-Hills-Hotel-Event-Marketing.html")</f>
        <v>Waldorf-Astoria-Beverly-Hills-Photo-The-Beverly-Hills-Hotel-Event-Marketing.html</v>
      </c>
    </row>
    <row r="149">
      <c r="A149" s="1" t="s">
        <v>245</v>
      </c>
      <c r="B149" s="1" t="s">
        <v>250</v>
      </c>
      <c r="D149" s="3" t="s">
        <v>251</v>
      </c>
      <c r="E149" s="2" t="str">
        <f>HYPERLINK("https://drive.google.com/file/d/1UPz6hru1gGcsayMKqBjsD5ReXlmF1YzR/view?usp=sharing","The-Maybourne-Beverly-Hills-Marketing-The-Beverly-Hills-Hotel-Event-Marketing.html")</f>
        <v>The-Maybourne-Beverly-Hills-Marketing-The-Beverly-Hills-Hotel-Event-Marketing.html</v>
      </c>
    </row>
    <row r="150">
      <c r="A150" s="1" t="s">
        <v>245</v>
      </c>
      <c r="B150" s="1" t="s">
        <v>252</v>
      </c>
      <c r="D150" s="3" t="s">
        <v>253</v>
      </c>
      <c r="E150" s="2" t="str">
        <f>HYPERLINK("https://drive.google.com/file/d/1tJ5xXBvyMHLHfGoBXkWpZQ5BvKrFJ3Ls/view?usp=sharing","Chateau-Marmont-Event-Photography-The-Beverly-Hills-Hotel-Event-Marketing.html")</f>
        <v>Chateau-Marmont-Event-Photography-The-Beverly-Hills-Hotel-Event-Marketing.html</v>
      </c>
    </row>
    <row r="151">
      <c r="A151" s="1" t="s">
        <v>245</v>
      </c>
      <c r="B151" s="1" t="s">
        <v>254</v>
      </c>
      <c r="D151" s="3" t="s">
        <v>255</v>
      </c>
      <c r="E151" s="2" t="str">
        <f>HYPERLINK("https://drive.google.com/file/d/1BuI3yse4X25mwZu8IBaRxlJduqznU3In/view?usp=sharing","Soho-House-West-Hollywood-Marketing-The-Beverly-Hills-Hotel-Event-Marketing.html")</f>
        <v>Soho-House-West-Hollywood-Marketing-The-Beverly-Hills-Hotel-Event-Marketing.html</v>
      </c>
    </row>
    <row r="152">
      <c r="A152" s="1" t="s">
        <v>245</v>
      </c>
      <c r="B152" s="1" t="s">
        <v>256</v>
      </c>
      <c r="D152" s="3" t="s">
        <v>257</v>
      </c>
      <c r="E152" s="2" t="str">
        <f>HYPERLINK("https://drive.google.com/file/d/12tFOb0UUWVkHnGh4jZ99nR8vK51SZFWX/view?usp=sharing","Greystone-Mansion-Photo-Marketing-The-Beverly-Hills-Hotel-Event-Marketing.html")</f>
        <v>Greystone-Mansion-Photo-Marketing-The-Beverly-Hills-Hotel-Event-Marketing.html</v>
      </c>
    </row>
    <row r="153">
      <c r="A153" s="1" t="s">
        <v>245</v>
      </c>
      <c r="B153" s="1" t="s">
        <v>258</v>
      </c>
      <c r="D153" s="3" t="s">
        <v>259</v>
      </c>
      <c r="E153" s="2" t="str">
        <f>HYPERLINK("https://drive.google.com/file/d/1lT36zOT-SnzNcf3qhqFEqnvyW9CKse2p/view?usp=sharing","The-London-West-Hollywood-Photography-The-Beverly-Hills-Hotel-Event-Marketing.html")</f>
        <v>The-London-West-Hollywood-Photography-The-Beverly-Hills-Hotel-Event-Marketing.html</v>
      </c>
    </row>
    <row r="154">
      <c r="A154" s="1" t="s">
        <v>245</v>
      </c>
      <c r="B154" s="1" t="s">
        <v>260</v>
      </c>
      <c r="D154" s="3" t="s">
        <v>261</v>
      </c>
      <c r="E154" s="2" t="str">
        <f>HYPERLINK("https://drive.google.com/file/d/1TfFuymZbrB0ezawRClzdx7rG3QyYmz4Q/view?usp=sharing","Hammer-Museum-Event-Photography-The-Beverly-Hills-Hotel-Event-Marketing.html")</f>
        <v>Hammer-Museum-Event-Photography-The-Beverly-Hills-Hotel-Event-Marketing.html</v>
      </c>
    </row>
    <row r="155">
      <c r="A155" s="1" t="s">
        <v>245</v>
      </c>
      <c r="B155" s="1" t="s">
        <v>262</v>
      </c>
      <c r="D155" s="3" t="s">
        <v>263</v>
      </c>
      <c r="E155" s="2" t="str">
        <f>HYPERLINK("https://drive.google.com/file/d/1C4vlp3MpcvJpmkhXTQlElYX-I_lIppA0/view?usp=sharing","Skirball-Cultural-Center-Marketing-The-Beverly-Hills-Hotel-Event-Marketing.html")</f>
        <v>Skirball-Cultural-Center-Marketing-The-Beverly-Hills-Hotel-Event-Marketing.html</v>
      </c>
    </row>
    <row r="156">
      <c r="A156" s="1" t="s">
        <v>245</v>
      </c>
      <c r="B156" s="1" t="s">
        <v>264</v>
      </c>
      <c r="D156" s="3" t="s">
        <v>265</v>
      </c>
      <c r="E156" s="2" t="str">
        <f>HYPERLINK("https://drive.google.com/file/d/1McmfSDd3in49MjjJNSsc-ieB4hNd5K24/view?usp=sharing","Vibiana-Los-Angeles-Photo-Marketing-The-Beverly-Hills-Hotel-Event-Marketing.html")</f>
        <v>Vibiana-Los-Angeles-Photo-Marketing-The-Beverly-Hills-Hotel-Event-Marketing.html</v>
      </c>
    </row>
    <row r="157">
      <c r="A157" s="1" t="s">
        <v>245</v>
      </c>
      <c r="B157" s="1" t="s">
        <v>266</v>
      </c>
      <c r="D157" s="3" t="s">
        <v>267</v>
      </c>
      <c r="E157" s="2" t="str">
        <f>HYPERLINK("https://drive.google.com/file/d/1zgdxJ9A2tpijIrJ-quekUWXWzJKBUwTZ/view?usp=sharing","The-Revery-LA-Event-Photography-The-Beverly-Hills-Hotel-Event-Marketing.html")</f>
        <v>The-Revery-LA-Event-Photography-The-Beverly-Hills-Hotel-Event-Marketing.html</v>
      </c>
    </row>
    <row r="158">
      <c r="A158" s="1" t="s">
        <v>245</v>
      </c>
      <c r="B158" s="1" t="s">
        <v>268</v>
      </c>
      <c r="D158" s="3" t="s">
        <v>269</v>
      </c>
      <c r="E158" s="2" t="str">
        <f>HYPERLINK("https://drive.google.com/file/d/1UFyDfdsN1b5wTc7xzzzUiZESVQcsHYzF/view?usp=sharing","Pelican-Hill-Luxury-Brand-Photo-The-Beverly-Hills-Hotel-Event-Marketing.html")</f>
        <v>Pelican-Hill-Luxury-Brand-Photo-The-Beverly-Hills-Hotel-Event-Marketing.html</v>
      </c>
    </row>
    <row r="159">
      <c r="A159" s="1" t="s">
        <v>245</v>
      </c>
      <c r="B159" s="1" t="s">
        <v>270</v>
      </c>
      <c r="D159" s="3" t="s">
        <v>271</v>
      </c>
      <c r="E159" s="2" t="str">
        <f>HYPERLINK("https://drive.google.com/file/d/1P3GEZVvVOtK9QE_Lfq8X1v_RkgSwyPBJ/view?usp=sharing","Lombardi-House-Marketing-Photography-The-Beverly-Hills-Hotel-Event-Marketing.html")</f>
        <v>Lombardi-House-Marketing-Photography-The-Beverly-Hills-Hotel-Event-Marketing.html</v>
      </c>
    </row>
    <row r="160">
      <c r="A160" s="1" t="s">
        <v>245</v>
      </c>
      <c r="B160" s="1" t="s">
        <v>272</v>
      </c>
      <c r="D160" s="3" t="s">
        <v>273</v>
      </c>
      <c r="E160" s="2" t="str">
        <f>HYPERLINK("https://drive.google.com/file/d/1jGXv8EGcBIc6m3AAgFZhjM4iJOKY3Zqg/view?usp=sharing","Hotel-Per-La-Event-Marketing-The-Beverly-Hills-Hotel-Event-Marketing.html")</f>
        <v>Hotel-Per-La-Event-Marketing-The-Beverly-Hills-Hotel-Event-Marketing.html</v>
      </c>
    </row>
    <row r="161">
      <c r="A161" s="1" t="s">
        <v>245</v>
      </c>
      <c r="B161" s="1" t="s">
        <v>274</v>
      </c>
      <c r="D161" s="3" t="s">
        <v>275</v>
      </c>
      <c r="E161" s="2" t="str">
        <f>HYPERLINK("https://drive.google.com/file/d/1PMgmLjZAd0IV_ydMzLWqbZWyrV0YVAg9/view?usp=sharing","High-Net-Worth-Photography-Services-The-Beverly-Hills-Hotel-Event-Marketing.html")</f>
        <v>High-Net-Worth-Photography-Services-The-Beverly-Hills-Hotel-Event-Marketing.html</v>
      </c>
    </row>
    <row r="162">
      <c r="A162" s="1" t="s">
        <v>245</v>
      </c>
      <c r="B162" s="1" t="s">
        <v>276</v>
      </c>
      <c r="D162" s="3" t="s">
        <v>277</v>
      </c>
      <c r="E162" s="2" t="str">
        <f>HYPERLINK("https://drive.google.com/file/d/1wxRPzA7JIAvnbPrqrSwjlMzluPnqrjvF/view?usp=sharing","Luxury-Gala-Photography-Los-Angeles-The-Beverly-Hills-Hotel-Event-Marketing.html")</f>
        <v>Luxury-Gala-Photography-Los-Angeles-The-Beverly-Hills-Hotel-Event-Marketing.html</v>
      </c>
    </row>
    <row r="163">
      <c r="A163" s="1" t="s">
        <v>245</v>
      </c>
      <c r="B163" s="1" t="s">
        <v>278</v>
      </c>
      <c r="D163" s="3" t="s">
        <v>279</v>
      </c>
      <c r="E163" s="2" t="str">
        <f>HYPERLINK("https://drive.google.com/file/d/1Utvb5caLXeS1BC-VWcpQIZhD0FSDsILz/view?usp=sharing","Boutique-Event-Marketing-Agency-LA-The-Beverly-Hills-Hotel-Event-Marketing.html")</f>
        <v>Boutique-Event-Marketing-Agency-LA-The-Beverly-Hills-Hotel-Event-Marketing.html</v>
      </c>
    </row>
    <row r="164">
      <c r="A164" s="1" t="s">
        <v>245</v>
      </c>
      <c r="B164" s="1" t="s">
        <v>280</v>
      </c>
      <c r="D164" s="3" t="s">
        <v>281</v>
      </c>
      <c r="E164" s="2" t="str">
        <f>HYPERLINK("https://drive.google.com/file/d/1EpEI_iTdIupFbsF305u6sCJ6sCocHpID/view?usp=sharing","Premium-Visual-Brand-Strategy-The-Beverly-Hills-Hotel-Event-Marketing.html")</f>
        <v>Premium-Visual-Brand-Strategy-The-Beverly-Hills-Hotel-Event-Marketing.html</v>
      </c>
    </row>
    <row r="165">
      <c r="A165" s="1" t="s">
        <v>245</v>
      </c>
      <c r="B165" s="1" t="s">
        <v>282</v>
      </c>
      <c r="D165" s="3" t="s">
        <v>283</v>
      </c>
      <c r="E165" s="2" t="str">
        <f>HYPERLINK("https://drive.google.com/file/d/1PZmYi3fbYE3LA1-d2Z4QdB24vAn4BO3q/view?usp=sharing","Private-Estate-Event-Photography-The-Beverly-Hills-Hotel-Event-Marketing.html")</f>
        <v>Private-Estate-Event-Photography-The-Beverly-Hills-Hotel-Event-Marketing.html</v>
      </c>
    </row>
    <row r="166">
      <c r="A166" s="1" t="s">
        <v>245</v>
      </c>
      <c r="B166" s="1" t="s">
        <v>284</v>
      </c>
      <c r="D166" s="3" t="s">
        <v>285</v>
      </c>
      <c r="E166" s="2" t="str">
        <f>HYPERLINK("https://drive.google.com/file/d/1oi2_F_e0Tfp6AGqBySNJVAYSsPJYEx3p/view?usp=sharing","Elite-Corporate-Event-Marketing-The-Beverly-Hills-Hotel-Event-Marketing.html")</f>
        <v>Elite-Corporate-Event-Marketing-The-Beverly-Hills-Hotel-Event-Marketing.html</v>
      </c>
    </row>
    <row r="167">
      <c r="A167" s="1" t="s">
        <v>245</v>
      </c>
      <c r="B167" s="1" t="s">
        <v>286</v>
      </c>
      <c r="D167" s="3" t="s">
        <v>287</v>
      </c>
      <c r="E167" s="2" t="str">
        <f>HYPERLINK("https://drive.google.com/file/d/1mPeyuZMcEkUh7vG-UHihpYNiI6Ar2Wzr/view?usp=sharing","Ultra-Luxury-Brand-Activation-LA-The-Beverly-Hills-Hotel-Event-Marketing.html")</f>
        <v>Ultra-Luxury-Brand-Activation-LA-The-Beverly-Hills-Hotel-Event-Marketing.html</v>
      </c>
    </row>
    <row r="168" ht="112.5" customHeight="1">
      <c r="A168" s="1" t="s">
        <v>288</v>
      </c>
      <c r="B168" s="1" t="s">
        <v>289</v>
      </c>
      <c r="C168" s="2" t="str">
        <f>HYPERLINK("https://drive.google.com/file/d/1UBcNejQ4pXuPJcqgB3vBniYL3rPQvbzl/view?usp=sharing", IMAGE("https://api.qrserver.com/v1/create-qr-code/?size=150x150&amp;data=https://drive.google.com/file/d/1UBcNejQ4pXuPJcqgB3vBniYL3rPQvbzl/view?usp=sharing",1))</f>
        <v/>
      </c>
      <c r="D168" s="3" t="s">
        <v>290</v>
      </c>
      <c r="E168" s="2" t="str">
        <f>HYPERLINK("https://drive.google.com/file/d/1UBcNejQ4pXuPJcqgB3vBniYL3rPQvbzl/view?usp=sharing","The Beverly Hills Hotel Event Marketing-The Beverly Hills Hotel Event Marketing.ods")</f>
        <v>The Beverly Hills Hotel Event Marketing-The Beverly Hills Hotel Event Marketing.ods</v>
      </c>
    </row>
    <row r="169" ht="112.5" customHeight="1">
      <c r="A169" s="1" t="s">
        <v>291</v>
      </c>
      <c r="B169" s="1" t="s">
        <v>292</v>
      </c>
      <c r="C169" s="2" t="str">
        <f>HYPERLINK("https://docs.google.com/spreadsheets/d/1Wd8zhtmVTfnPrI4XUsmUOI7xBJxidrWZ/edit?usp=sharing&amp;ouid=115602453726005426174&amp;rtpof=true&amp;sd=true", IMAGE("https://api.qrserver.com/v1/create-qr-code/?size=150x150&amp;data=https://docs.google.com/spreadsheets/d/1Wd8zhtmVTfnPrI4XUsmUOI7xBJxidrWZ/edit?usp=sharing&amp;ouid=115602453726005426174&amp;rtpof=true&amp;sd=true",1))</f>
        <v/>
      </c>
      <c r="D169" s="3" t="s">
        <v>293</v>
      </c>
      <c r="E169" s="2" t="str">
        <f>HYPERLINK("https://docs.google.com/spreadsheets/d/1Wd8zhtmVTfnPrI4XUsmUOI7xBJxidrWZ/edit?usp=sharing&amp;ouid=115602453726005426174&amp;rtpof=true&amp;sd=true","The Beverly Hills Hotel Event Marketing-The Beverly Hills Hotel Event Marketing.xlsx")</f>
        <v>The Beverly Hills Hotel Event Marketing-The Beverly Hills Hotel Event Marketing.xlsx</v>
      </c>
    </row>
    <row r="170" ht="112.5" customHeight="1">
      <c r="A170" s="1" t="s">
        <v>288</v>
      </c>
      <c r="B170" s="1" t="s">
        <v>294</v>
      </c>
      <c r="C170" s="2" t="str">
        <f>HYPERLINK("https://drive.google.com/file/d/1H1vcYeLTtkvDJH7nDT_6VLZMllILW1rA/view?usp=sharing", IMAGE("https://api.qrserver.com/v1/create-qr-code/?size=150x150&amp;data=https://drive.google.com/file/d/1H1vcYeLTtkvDJH7nDT_6VLZMllILW1rA/view?usp=sharing",1))</f>
        <v/>
      </c>
      <c r="D170" s="3" t="s">
        <v>295</v>
      </c>
      <c r="E170" s="2" t="str">
        <f>HYPERLINK("https://drive.google.com/file/d/1H1vcYeLTtkvDJH7nDT_6VLZMllILW1rA/view?usp=sharing","The Beverly Hills Hotel Event Marketing-Keywords.ods")</f>
        <v>The Beverly Hills Hotel Event Marketing-Keywords.ods</v>
      </c>
    </row>
    <row r="171" ht="112.5" customHeight="1">
      <c r="A171" s="1" t="s">
        <v>291</v>
      </c>
      <c r="B171" s="1" t="s">
        <v>296</v>
      </c>
      <c r="C171" s="2" t="str">
        <f>HYPERLINK("https://docs.google.com/spreadsheets/d/1-2z38pIs_TYOYJRDoCxYl9U8SEZW7y2Z/edit?usp=sharing&amp;ouid=115602453726005426174&amp;rtpof=true&amp;sd=true", IMAGE("https://api.qrserver.com/v1/create-qr-code/?size=150x150&amp;data=https://docs.google.com/spreadsheets/d/1-2z38pIs_TYOYJRDoCxYl9U8SEZW7y2Z/edit?usp=sharing&amp;ouid=115602453726005426174&amp;rtpof=true&amp;sd=true",1))</f>
        <v/>
      </c>
      <c r="D171" s="3" t="s">
        <v>297</v>
      </c>
      <c r="E171" s="2" t="str">
        <f>HYPERLINK("https://docs.google.com/spreadsheets/d/1-2z38pIs_TYOYJRDoCxYl9U8SEZW7y2Z/edit?usp=sharing&amp;ouid=115602453726005426174&amp;rtpof=true&amp;sd=true","The Beverly Hills Hotel Event Marketing-Keywords.xlsx")</f>
        <v>The Beverly Hills Hotel Event Marketing-Keywords.xlsx</v>
      </c>
    </row>
    <row r="172" ht="112.5" customHeight="1">
      <c r="A172" s="1" t="s">
        <v>288</v>
      </c>
      <c r="B172" s="1" t="s">
        <v>298</v>
      </c>
      <c r="C172" s="2" t="str">
        <f>HYPERLINK("https://drive.google.com/file/d/1KSBk3kgzoesVzX4ssXdwoy-peOoG9H3e/view?usp=sharing", IMAGE("https://api.qrserver.com/v1/create-qr-code/?size=150x150&amp;data=https://drive.google.com/file/d/1KSBk3kgzoesVzX4ssXdwoy-peOoG9H3e/view?usp=sharing",1))</f>
        <v/>
      </c>
      <c r="D172" s="3" t="s">
        <v>299</v>
      </c>
      <c r="E172" s="2" t="str">
        <f>HYPERLINK("https://drive.google.com/file/d/1KSBk3kgzoesVzX4ssXdwoy-peOoG9H3e/view?usp=sharing","The Beverly Hills Hotel Event Marketing-Content.ods")</f>
        <v>The Beverly Hills Hotel Event Marketing-Content.ods</v>
      </c>
    </row>
    <row r="173" ht="112.5" customHeight="1">
      <c r="A173" s="1" t="s">
        <v>291</v>
      </c>
      <c r="B173" s="1" t="s">
        <v>300</v>
      </c>
      <c r="C173" s="2" t="str">
        <f>HYPERLINK("https://docs.google.com/spreadsheets/d/1F4EDa4cN5cP8sHlaKLVryiTEnq4QaP1j/edit?usp=sharing&amp;ouid=115602453726005426174&amp;rtpof=true&amp;sd=true", IMAGE("https://api.qrserver.com/v1/create-qr-code/?size=150x150&amp;data=https://docs.google.com/spreadsheets/d/1F4EDa4cN5cP8sHlaKLVryiTEnq4QaP1j/edit?usp=sharing&amp;ouid=115602453726005426174&amp;rtpof=true&amp;sd=true",1))</f>
        <v/>
      </c>
      <c r="D173" s="3" t="s">
        <v>301</v>
      </c>
      <c r="E173" s="2" t="str">
        <f>HYPERLINK("https://docs.google.com/spreadsheets/d/1F4EDa4cN5cP8sHlaKLVryiTEnq4QaP1j/edit?usp=sharing&amp;ouid=115602453726005426174&amp;rtpof=true&amp;sd=true","The Beverly Hills Hotel Event Marketing-Content.xlsx")</f>
        <v>The Beverly Hills Hotel Event Marketing-Content.xlsx</v>
      </c>
    </row>
    <row r="174" ht="112.5" customHeight="1">
      <c r="A174" s="1" t="s">
        <v>288</v>
      </c>
      <c r="B174" s="1" t="s">
        <v>302</v>
      </c>
      <c r="C174" s="2" t="str">
        <f>HYPERLINK("https://drive.google.com/file/d/17I3LgtPimxXd8UAWc00aDgsCeU3IL-vl/view?usp=sharing", IMAGE("https://api.qrserver.com/v1/create-qr-code/?size=150x150&amp;data=https://drive.google.com/file/d/17I3LgtPimxXd8UAWc00aDgsCeU3IL-vl/view?usp=sharing",1))</f>
        <v/>
      </c>
      <c r="D174" s="3" t="s">
        <v>303</v>
      </c>
      <c r="E174" s="2" t="str">
        <f>HYPERLINK("https://drive.google.com/file/d/17I3LgtPimxXd8UAWc00aDgsCeU3IL-vl/view?usp=sharing","The Beverly Hills Hotel Event Marketing-Calendar Events.ods")</f>
        <v>The Beverly Hills Hotel Event Marketing-Calendar Events.ods</v>
      </c>
    </row>
    <row r="175" ht="112.5" customHeight="1">
      <c r="A175" s="1" t="s">
        <v>291</v>
      </c>
      <c r="B175" s="1" t="s">
        <v>304</v>
      </c>
      <c r="C175" s="2" t="str">
        <f>HYPERLINK("https://docs.google.com/spreadsheets/d/1f7zBqALrsSS2HG42Ey-UMLg_QkYt7jvL/edit?usp=sharing&amp;ouid=115602453726005426174&amp;rtpof=true&amp;sd=true", IMAGE("https://api.qrserver.com/v1/create-qr-code/?size=150x150&amp;data=https://docs.google.com/spreadsheets/d/1f7zBqALrsSS2HG42Ey-UMLg_QkYt7jvL/edit?usp=sharing&amp;ouid=115602453726005426174&amp;rtpof=true&amp;sd=true",1))</f>
        <v/>
      </c>
      <c r="D175" s="3" t="s">
        <v>305</v>
      </c>
      <c r="E175" s="2" t="str">
        <f>HYPERLINK("https://docs.google.com/spreadsheets/d/1f7zBqALrsSS2HG42Ey-UMLg_QkYt7jvL/edit?usp=sharing&amp;ouid=115602453726005426174&amp;rtpof=true&amp;sd=true","The Beverly Hills Hotel Event Marketing-Calendar Events.xlsx")</f>
        <v>The Beverly Hills Hotel Event Marketing-Calendar Events.xlsx</v>
      </c>
    </row>
    <row r="176" ht="112.5" customHeight="1">
      <c r="A176" s="1" t="s">
        <v>288</v>
      </c>
      <c r="B176" s="1" t="s">
        <v>306</v>
      </c>
      <c r="C176" s="2" t="str">
        <f>HYPERLINK("https://drive.google.com/file/d/1Z7Kt5d0E4Eiu8ruf8K9l1bjz3glomNRv/view?usp=sharing", IMAGE("https://api.qrserver.com/v1/create-qr-code/?size=150x150&amp;data=https://drive.google.com/file/d/1Z7Kt5d0E4Eiu8ruf8K9l1bjz3glomNRv/view?usp=sharing",1))</f>
        <v/>
      </c>
      <c r="D176" s="3" t="s">
        <v>307</v>
      </c>
      <c r="E176" s="2" t="str">
        <f>HYPERLINK("https://drive.google.com/file/d/1Z7Kt5d0E4Eiu8ruf8K9l1bjz3glomNRv/view?usp=sharing","The Beverly Hills Hotel Event Marketing-RSS Feeds.ods")</f>
        <v>The Beverly Hills Hotel Event Marketing-RSS Feeds.ods</v>
      </c>
    </row>
    <row r="177" ht="112.5" customHeight="1">
      <c r="A177" s="1" t="s">
        <v>291</v>
      </c>
      <c r="B177" s="1" t="s">
        <v>308</v>
      </c>
      <c r="C177" s="2" t="str">
        <f>HYPERLINK("https://docs.google.com/spreadsheets/d/1m1bqJebm9d1ORDjQ9CVIHtC8bURVwNcJ/edit?usp=sharing&amp;ouid=115602453726005426174&amp;rtpof=true&amp;sd=true", IMAGE("https://api.qrserver.com/v1/create-qr-code/?size=150x150&amp;data=https://docs.google.com/spreadsheets/d/1m1bqJebm9d1ORDjQ9CVIHtC8bURVwNcJ/edit?usp=sharing&amp;ouid=115602453726005426174&amp;rtpof=true&amp;sd=true",1))</f>
        <v/>
      </c>
      <c r="D177" s="3" t="s">
        <v>309</v>
      </c>
      <c r="E177" s="2" t="str">
        <f>HYPERLINK("https://docs.google.com/spreadsheets/d/1m1bqJebm9d1ORDjQ9CVIHtC8bURVwNcJ/edit?usp=sharing&amp;ouid=115602453726005426174&amp;rtpof=true&amp;sd=true","The Beverly Hills Hotel Event Marketing-RSS Feeds.xlsx")</f>
        <v>The Beverly Hills Hotel Event Marketing-RSS Feeds.xlsx</v>
      </c>
    </row>
    <row r="178" ht="112.5" customHeight="1">
      <c r="A178" s="1" t="s">
        <v>288</v>
      </c>
      <c r="B178" s="1" t="s">
        <v>310</v>
      </c>
      <c r="C178" s="2" t="str">
        <f>HYPERLINK("https://drive.google.com/file/d/1-c2Z530y2o2L4L0GONdPO3IWj7PY8kf4/view?usp=sharing", IMAGE("https://api.qrserver.com/v1/create-qr-code/?size=150x150&amp;data=https://drive.google.com/file/d/1-c2Z530y2o2L4L0GONdPO3IWj7PY8kf4/view?usp=sharing",1))</f>
        <v/>
      </c>
      <c r="D178" s="3" t="s">
        <v>311</v>
      </c>
      <c r="E178" s="2" t="str">
        <f>HYPERLINK("https://drive.google.com/file/d/1-c2Z530y2o2L4L0GONdPO3IWj7PY8kf4/view?usp=sharing","The Beverly Hills Hotel Event Marketing-Iframe Embeds.ods")</f>
        <v>The Beverly Hills Hotel Event Marketing-Iframe Embeds.ods</v>
      </c>
    </row>
    <row r="179" ht="112.5" customHeight="1">
      <c r="A179" s="1" t="s">
        <v>291</v>
      </c>
      <c r="B179" s="1" t="s">
        <v>312</v>
      </c>
      <c r="C179" s="2" t="str">
        <f>HYPERLINK("https://docs.google.com/spreadsheets/d/1yCUEK_kEatca2RrQvAXk3Ubufv-I14VZ/edit?usp=sharing&amp;ouid=115602453726005426174&amp;rtpof=true&amp;sd=true", IMAGE("https://api.qrserver.com/v1/create-qr-code/?size=150x150&amp;data=https://docs.google.com/spreadsheets/d/1yCUEK_kEatca2RrQvAXk3Ubufv-I14VZ/edit?usp=sharing&amp;ouid=115602453726005426174&amp;rtpof=true&amp;sd=true",1))</f>
        <v/>
      </c>
      <c r="D179" s="3" t="s">
        <v>313</v>
      </c>
      <c r="E179" s="2" t="str">
        <f>HYPERLINK("https://docs.google.com/spreadsheets/d/1yCUEK_kEatca2RrQvAXk3Ubufv-I14VZ/edit?usp=sharing&amp;ouid=115602453726005426174&amp;rtpof=true&amp;sd=true","The Beverly Hills Hotel Event Marketing-Iframe Embeds.xlsx")</f>
        <v>The Beverly Hills Hotel Event Marketing-Iframe Embeds.xlsx</v>
      </c>
    </row>
    <row r="180" ht="112.5" customHeight="1">
      <c r="A180" s="1" t="s">
        <v>314</v>
      </c>
      <c r="B180" s="1" t="s">
        <v>315</v>
      </c>
      <c r="C180" s="2" t="str">
        <f>HYPERLINK("https://drive.google.com/file/d/1qxudyQ717CGhQ2jo5TlL0Bik0v6vQTJo/view?usp=sharing", IMAGE("https://api.qrserver.com/v1/create-qr-code/?size=150x150&amp;data=https://drive.google.com/file/d/1qxudyQ717CGhQ2jo5TlL0Bik0v6vQTJo/view?usp=sharing",1))</f>
        <v/>
      </c>
      <c r="D180" s="3" t="s">
        <v>316</v>
      </c>
      <c r="E180" s="2" t="str">
        <f>HYPERLINK("https://drive.google.com/file/d/1qxudyQ717CGhQ2jo5TlL0Bik0v6vQTJo/view?usp=sharing","Chateau Marmont Event Photography.rtf")</f>
        <v>Chateau Marmont Event Photography.rtf</v>
      </c>
    </row>
    <row r="181" ht="112.5" customHeight="1">
      <c r="A181" s="1" t="s">
        <v>317</v>
      </c>
      <c r="B181" s="1" t="s">
        <v>318</v>
      </c>
      <c r="C181" s="2" t="str">
        <f>HYPERLINK("https://drive.google.com/file/d/1ZFXQ-APRexg0U_a5r0IvTjmqYI9LYcCf/view?usp=sharing", IMAGE("https://api.qrserver.com/v1/create-qr-code/?size=150x150&amp;data=https://drive.google.com/file/d/1ZFXQ-APRexg0U_a5r0IvTjmqYI9LYcCf/view?usp=sharing",1))</f>
        <v/>
      </c>
      <c r="D181" s="3" t="s">
        <v>319</v>
      </c>
      <c r="E181" s="2" t="str">
        <f>HYPERLINK("https://drive.google.com/file/d/1ZFXQ-APRexg0U_a5r0IvTjmqYI9LYcCf/view?usp=sharing","Chateau Marmont Event Photography.txt")</f>
        <v>Chateau Marmont Event Photography.txt</v>
      </c>
    </row>
    <row r="182" ht="112.5" customHeight="1">
      <c r="A182" s="1" t="s">
        <v>314</v>
      </c>
      <c r="B182" s="1" t="s">
        <v>320</v>
      </c>
      <c r="C182" s="2" t="str">
        <f>HYPERLINK("https://drive.google.com/file/d/1Rq1UME913l5LrtHGjf2YA8CdRSZWp7J_/view?usp=sharing", IMAGE("https://api.qrserver.com/v1/create-qr-code/?size=150x150&amp;data=https://drive.google.com/file/d/1Rq1UME913l5LrtHGjf2YA8CdRSZWp7J_/view?usp=sharing",1))</f>
        <v/>
      </c>
      <c r="D182" s="3" t="s">
        <v>321</v>
      </c>
      <c r="E182" s="2" t="str">
        <f>HYPERLINK("https://drive.google.com/file/d/1Rq1UME913l5LrtHGjf2YA8CdRSZWp7J_/view?usp=sharing","Soho House West Hollywood Marketing.rtf")</f>
        <v>Soho House West Hollywood Marketing.rtf</v>
      </c>
    </row>
    <row r="183" ht="112.5" customHeight="1">
      <c r="A183" s="1" t="s">
        <v>317</v>
      </c>
      <c r="B183" s="1" t="s">
        <v>322</v>
      </c>
      <c r="C183" s="2" t="str">
        <f>HYPERLINK("https://drive.google.com/file/d/1Uc0l5Z1KmtAfi4NYMQ51Qme_WzlsKWVm/view?usp=sharing", IMAGE("https://api.qrserver.com/v1/create-qr-code/?size=150x150&amp;data=https://drive.google.com/file/d/1Uc0l5Z1KmtAfi4NYMQ51Qme_WzlsKWVm/view?usp=sharing",1))</f>
        <v/>
      </c>
      <c r="D183" s="3" t="s">
        <v>323</v>
      </c>
      <c r="E183" s="2" t="str">
        <f>HYPERLINK("https://drive.google.com/file/d/1Uc0l5Z1KmtAfi4NYMQ51Qme_WzlsKWVm/view?usp=sharing","Soho House West Hollywood Marketing.txt")</f>
        <v>Soho House West Hollywood Marketing.txt</v>
      </c>
    </row>
    <row r="184" ht="112.5" customHeight="1">
      <c r="A184" s="1" t="s">
        <v>314</v>
      </c>
      <c r="B184" s="1" t="s">
        <v>324</v>
      </c>
      <c r="C184" s="2" t="str">
        <f>HYPERLINK("https://drive.google.com/file/d/1n8Z3k8hYV3wdTpCQ5VPAhftL1tW4EN9V/view?usp=sharing", IMAGE("https://api.qrserver.com/v1/create-qr-code/?size=150x150&amp;data=https://drive.google.com/file/d/1n8Z3k8hYV3wdTpCQ5VPAhftL1tW4EN9V/view?usp=sharing",1))</f>
        <v/>
      </c>
      <c r="D184" s="3" t="s">
        <v>325</v>
      </c>
      <c r="E184" s="2" t="str">
        <f>HYPERLINK("https://drive.google.com/file/d/1n8Z3k8hYV3wdTpCQ5VPAhftL1tW4EN9V/view?usp=sharing","Greystone Mansion Photo Marketing.rtf")</f>
        <v>Greystone Mansion Photo Marketing.rtf</v>
      </c>
    </row>
    <row r="185" ht="112.5" customHeight="1">
      <c r="A185" s="1" t="s">
        <v>317</v>
      </c>
      <c r="B185" s="1" t="s">
        <v>326</v>
      </c>
      <c r="C185" s="2" t="str">
        <f>HYPERLINK("https://drive.google.com/file/d/1QNSlDWKGpCVHIJlH0ajY8mzOGd-70FTS/view?usp=sharing", IMAGE("https://api.qrserver.com/v1/create-qr-code/?size=150x150&amp;data=https://drive.google.com/file/d/1QNSlDWKGpCVHIJlH0ajY8mzOGd-70FTS/view?usp=sharing",1))</f>
        <v/>
      </c>
      <c r="D185" s="3" t="s">
        <v>327</v>
      </c>
      <c r="E185" s="2" t="str">
        <f>HYPERLINK("https://drive.google.com/file/d/1QNSlDWKGpCVHIJlH0ajY8mzOGd-70FTS/view?usp=sharing","Greystone Mansion Photo Marketing.txt")</f>
        <v>Greystone Mansion Photo Marketing.txt</v>
      </c>
    </row>
    <row r="186" ht="112.5" customHeight="1">
      <c r="A186" s="1" t="s">
        <v>314</v>
      </c>
      <c r="B186" s="1" t="s">
        <v>328</v>
      </c>
      <c r="C186" s="2" t="str">
        <f>HYPERLINK("https://drive.google.com/file/d/1s9CSW8yXz2ErU26dw7FMfuBtKxOVHj4R/view?usp=sharing", IMAGE("https://api.qrserver.com/v1/create-qr-code/?size=150x150&amp;data=https://drive.google.com/file/d/1s9CSW8yXz2ErU26dw7FMfuBtKxOVHj4R/view?usp=sharing",1))</f>
        <v/>
      </c>
      <c r="D186" s="3" t="s">
        <v>329</v>
      </c>
      <c r="E186" s="2" t="str">
        <f>HYPERLINK("https://drive.google.com/file/d/1s9CSW8yXz2ErU26dw7FMfuBtKxOVHj4R/view?usp=sharing","The London West Hollywood Photography.rtf")</f>
        <v>The London West Hollywood Photography.rtf</v>
      </c>
    </row>
    <row r="187" ht="112.5" customHeight="1">
      <c r="A187" s="1" t="s">
        <v>317</v>
      </c>
      <c r="B187" s="1" t="s">
        <v>330</v>
      </c>
      <c r="C187" s="2" t="str">
        <f>HYPERLINK("https://drive.google.com/file/d/1Qi136hXdq1HO6BRHZdkyqgvVrHiLfrRW/view?usp=sharing", IMAGE("https://api.qrserver.com/v1/create-qr-code/?size=150x150&amp;data=https://drive.google.com/file/d/1Qi136hXdq1HO6BRHZdkyqgvVrHiLfrRW/view?usp=sharing",1))</f>
        <v/>
      </c>
      <c r="D187" s="3" t="s">
        <v>331</v>
      </c>
      <c r="E187" s="2" t="str">
        <f>HYPERLINK("https://drive.google.com/file/d/1Qi136hXdq1HO6BRHZdkyqgvVrHiLfrRW/view?usp=sharing","The London West Hollywood Photography.txt")</f>
        <v>The London West Hollywood Photography.txt</v>
      </c>
    </row>
    <row r="188" ht="112.5" customHeight="1">
      <c r="A188" s="1" t="s">
        <v>314</v>
      </c>
      <c r="B188" s="1" t="s">
        <v>332</v>
      </c>
      <c r="C188" s="2" t="str">
        <f>HYPERLINK("https://drive.google.com/file/d/191STR1BKk7DXf-BGyZ0Ok24tz9zqoflG/view?usp=sharing", IMAGE("https://api.qrserver.com/v1/create-qr-code/?size=150x150&amp;data=https://drive.google.com/file/d/191STR1BKk7DXf-BGyZ0Ok24tz9zqoflG/view?usp=sharing",1))</f>
        <v/>
      </c>
      <c r="D188" s="3" t="s">
        <v>333</v>
      </c>
      <c r="E188" s="2" t="str">
        <f>HYPERLINK("https://drive.google.com/file/d/191STR1BKk7DXf-BGyZ0Ok24tz9zqoflG/view?usp=sharing","Hammer Museum Event Photography.rtf")</f>
        <v>Hammer Museum Event Photography.rtf</v>
      </c>
    </row>
    <row r="189" ht="112.5" customHeight="1">
      <c r="A189" s="1" t="s">
        <v>317</v>
      </c>
      <c r="B189" s="1" t="s">
        <v>334</v>
      </c>
      <c r="C189" s="2" t="str">
        <f>HYPERLINK("https://drive.google.com/file/d/1q44rSFsQd1n5sVDy5xpSkcclxe2AUf-4/view?usp=sharing", IMAGE("https://api.qrserver.com/v1/create-qr-code/?size=150x150&amp;data=https://drive.google.com/file/d/1q44rSFsQd1n5sVDy5xpSkcclxe2AUf-4/view?usp=sharing",1))</f>
        <v/>
      </c>
      <c r="D189" s="3" t="s">
        <v>335</v>
      </c>
      <c r="E189" s="2" t="str">
        <f>HYPERLINK("https://drive.google.com/file/d/1q44rSFsQd1n5sVDy5xpSkcclxe2AUf-4/view?usp=sharing","Hammer Museum Event Photography.txt")</f>
        <v>Hammer Museum Event Photography.txt</v>
      </c>
    </row>
    <row r="190" ht="112.5" customHeight="1">
      <c r="A190" s="1" t="s">
        <v>314</v>
      </c>
      <c r="B190" s="1" t="s">
        <v>336</v>
      </c>
      <c r="C190" s="2" t="str">
        <f>HYPERLINK("https://drive.google.com/file/d/1mDrgM1o3KV1Q5fp8drRNDc8g_bI0SFQZ/view?usp=sharing", IMAGE("https://api.qrserver.com/v1/create-qr-code/?size=150x150&amp;data=https://drive.google.com/file/d/1mDrgM1o3KV1Q5fp8drRNDc8g_bI0SFQZ/view?usp=sharing",1))</f>
        <v/>
      </c>
      <c r="D190" s="3" t="s">
        <v>337</v>
      </c>
      <c r="E190" s="2" t="str">
        <f>HYPERLINK("https://drive.google.com/file/d/1mDrgM1o3KV1Q5fp8drRNDc8g_bI0SFQZ/view?usp=sharing","Skirball Cultural Center Marketing.rtf")</f>
        <v>Skirball Cultural Center Marketing.rtf</v>
      </c>
    </row>
    <row r="191" ht="112.5" customHeight="1">
      <c r="A191" s="1" t="s">
        <v>317</v>
      </c>
      <c r="B191" s="1" t="s">
        <v>338</v>
      </c>
      <c r="C191" s="2" t="str">
        <f>HYPERLINK("https://drive.google.com/file/d/10SS1l-LRw_BxPsENWBLkf_OJzxfuj-qB/view?usp=sharing", IMAGE("https://api.qrserver.com/v1/create-qr-code/?size=150x150&amp;data=https://drive.google.com/file/d/10SS1l-LRw_BxPsENWBLkf_OJzxfuj-qB/view?usp=sharing",1))</f>
        <v/>
      </c>
      <c r="D191" s="3" t="s">
        <v>339</v>
      </c>
      <c r="E191" s="2" t="str">
        <f>HYPERLINK("https://drive.google.com/file/d/10SS1l-LRw_BxPsENWBLkf_OJzxfuj-qB/view?usp=sharing","Skirball Cultural Center Marketing.txt")</f>
        <v>Skirball Cultural Center Marketing.txt</v>
      </c>
    </row>
    <row r="192" ht="112.5" customHeight="1">
      <c r="A192" s="1" t="s">
        <v>314</v>
      </c>
      <c r="B192" s="1" t="s">
        <v>340</v>
      </c>
      <c r="C192" s="2" t="str">
        <f>HYPERLINK("https://drive.google.com/file/d/1SLvoHtDa4znx2gE2qSJEHyNDVHRYmx4o/view?usp=sharing", IMAGE("https://api.qrserver.com/v1/create-qr-code/?size=150x150&amp;data=https://drive.google.com/file/d/1SLvoHtDa4znx2gE2qSJEHyNDVHRYmx4o/view?usp=sharing",1))</f>
        <v/>
      </c>
      <c r="D192" s="3" t="s">
        <v>341</v>
      </c>
      <c r="E192" s="2" t="str">
        <f>HYPERLINK("https://drive.google.com/file/d/1SLvoHtDa4znx2gE2qSJEHyNDVHRYmx4o/view?usp=sharing","Vibiana Los Angeles Photo Marketing.rtf")</f>
        <v>Vibiana Los Angeles Photo Marketing.rtf</v>
      </c>
    </row>
    <row r="193" ht="112.5" customHeight="1">
      <c r="A193" s="1" t="s">
        <v>317</v>
      </c>
      <c r="B193" s="1" t="s">
        <v>342</v>
      </c>
      <c r="C193" s="2" t="str">
        <f>HYPERLINK("https://drive.google.com/file/d/1xPv-VRBZUDp4RnFaGf7Igx1-uWZjzE-L/view?usp=sharing", IMAGE("https://api.qrserver.com/v1/create-qr-code/?size=150x150&amp;data=https://drive.google.com/file/d/1xPv-VRBZUDp4RnFaGf7Igx1-uWZjzE-L/view?usp=sharing",1))</f>
        <v/>
      </c>
      <c r="D193" s="3" t="s">
        <v>343</v>
      </c>
      <c r="E193" s="2" t="str">
        <f>HYPERLINK("https://drive.google.com/file/d/1xPv-VRBZUDp4RnFaGf7Igx1-uWZjzE-L/view?usp=sharing","Vibiana Los Angeles Photo Marketing.txt")</f>
        <v>Vibiana Los Angeles Photo Marketing.txt</v>
      </c>
    </row>
    <row r="194" ht="112.5" customHeight="1">
      <c r="A194" s="1" t="s">
        <v>314</v>
      </c>
      <c r="B194" s="1" t="s">
        <v>344</v>
      </c>
      <c r="C194" s="2" t="str">
        <f>HYPERLINK("https://drive.google.com/file/d/1gdG8FDijbv4y6pFyEyTKKoanKIFraSJL/view?usp=sharing", IMAGE("https://api.qrserver.com/v1/create-qr-code/?size=150x150&amp;data=https://drive.google.com/file/d/1gdG8FDijbv4y6pFyEyTKKoanKIFraSJL/view?usp=sharing",1))</f>
        <v/>
      </c>
      <c r="D194" s="3" t="s">
        <v>345</v>
      </c>
      <c r="E194" s="2" t="str">
        <f>HYPERLINK("https://drive.google.com/file/d/1gdG8FDijbv4y6pFyEyTKKoanKIFraSJL/view?usp=sharing","The Revery LA Event Photography.rtf")</f>
        <v>The Revery LA Event Photography.rtf</v>
      </c>
    </row>
    <row r="195" ht="112.5" customHeight="1">
      <c r="A195" s="1" t="s">
        <v>317</v>
      </c>
      <c r="B195" s="1" t="s">
        <v>346</v>
      </c>
      <c r="C195" s="2" t="str">
        <f>HYPERLINK("https://drive.google.com/file/d/1yE5AfCqnQeouBoLLFiUpQ0kOiFDq6zgx/view?usp=sharing", IMAGE("https://api.qrserver.com/v1/create-qr-code/?size=150x150&amp;data=https://drive.google.com/file/d/1yE5AfCqnQeouBoLLFiUpQ0kOiFDq6zgx/view?usp=sharing",1))</f>
        <v/>
      </c>
      <c r="D195" s="3" t="s">
        <v>347</v>
      </c>
      <c r="E195" s="2" t="str">
        <f>HYPERLINK("https://drive.google.com/file/d/1yE5AfCqnQeouBoLLFiUpQ0kOiFDq6zgx/view?usp=sharing","The Revery LA Event Photography.txt")</f>
        <v>The Revery LA Event Photography.txt</v>
      </c>
    </row>
    <row r="196" ht="112.5" customHeight="1">
      <c r="A196" s="1" t="s">
        <v>314</v>
      </c>
      <c r="B196" s="1" t="s">
        <v>348</v>
      </c>
      <c r="C196" s="2" t="str">
        <f>HYPERLINK("https://drive.google.com/file/d/1u7wxY0pB91-iG7OZvywTLV-RNJRaYSfF/view?usp=sharing", IMAGE("https://api.qrserver.com/v1/create-qr-code/?size=150x150&amp;data=https://drive.google.com/file/d/1u7wxY0pB91-iG7OZvywTLV-RNJRaYSfF/view?usp=sharing",1))</f>
        <v/>
      </c>
      <c r="D196" s="3" t="s">
        <v>349</v>
      </c>
      <c r="E196" s="2" t="str">
        <f>HYPERLINK("https://drive.google.com/file/d/1u7wxY0pB91-iG7OZvywTLV-RNJRaYSfF/view?usp=sharing","Pelican Hill Luxury Brand Photo.rtf")</f>
        <v>Pelican Hill Luxury Brand Photo.rtf</v>
      </c>
    </row>
    <row r="197" ht="112.5" customHeight="1">
      <c r="A197" s="1" t="s">
        <v>317</v>
      </c>
      <c r="B197" s="1" t="s">
        <v>350</v>
      </c>
      <c r="C197" s="2" t="str">
        <f>HYPERLINK("https://drive.google.com/file/d/1M9SAjrGKApncouEE0zy3M7tgiySJu2hG/view?usp=sharing", IMAGE("https://api.qrserver.com/v1/create-qr-code/?size=150x150&amp;data=https://drive.google.com/file/d/1M9SAjrGKApncouEE0zy3M7tgiySJu2hG/view?usp=sharing",1))</f>
        <v/>
      </c>
      <c r="D197" s="3" t="s">
        <v>351</v>
      </c>
      <c r="E197" s="2" t="str">
        <f>HYPERLINK("https://drive.google.com/file/d/1M9SAjrGKApncouEE0zy3M7tgiySJu2hG/view?usp=sharing","Pelican Hill Luxury Brand Photo.txt")</f>
        <v>Pelican Hill Luxury Brand Photo.txt</v>
      </c>
    </row>
    <row r="198" ht="112.5" customHeight="1">
      <c r="A198" s="1" t="s">
        <v>314</v>
      </c>
      <c r="B198" s="1" t="s">
        <v>352</v>
      </c>
      <c r="C198" s="2" t="str">
        <f>HYPERLINK("https://drive.google.com/file/d/1VNftyMVyrRrzkujdZb0tbak-RFIxbnPi/view?usp=sharing", IMAGE("https://api.qrserver.com/v1/create-qr-code/?size=150x150&amp;data=https://drive.google.com/file/d/1VNftyMVyrRrzkujdZb0tbak-RFIxbnPi/view?usp=sharing",1))</f>
        <v/>
      </c>
      <c r="D198" s="3" t="s">
        <v>353</v>
      </c>
      <c r="E198" s="2" t="str">
        <f>HYPERLINK("https://drive.google.com/file/d/1VNftyMVyrRrzkujdZb0tbak-RFIxbnPi/view?usp=sharing","Lombardi House Marketing Photography.rtf")</f>
        <v>Lombardi House Marketing Photography.rtf</v>
      </c>
    </row>
    <row r="199" ht="112.5" customHeight="1">
      <c r="A199" s="1" t="s">
        <v>317</v>
      </c>
      <c r="B199" s="1" t="s">
        <v>354</v>
      </c>
      <c r="C199" s="2" t="str">
        <f>HYPERLINK("https://drive.google.com/file/d/10UL0ITZBQQmCUvGTLhEu0DoO8TWZSYFe/view?usp=sharing", IMAGE("https://api.qrserver.com/v1/create-qr-code/?size=150x150&amp;data=https://drive.google.com/file/d/10UL0ITZBQQmCUvGTLhEu0DoO8TWZSYFe/view?usp=sharing",1))</f>
        <v/>
      </c>
      <c r="D199" s="3" t="s">
        <v>355</v>
      </c>
      <c r="E199" s="2" t="str">
        <f>HYPERLINK("https://drive.google.com/file/d/10UL0ITZBQQmCUvGTLhEu0DoO8TWZSYFe/view?usp=sharing","Lombardi House Marketing Photography.txt")</f>
        <v>Lombardi House Marketing Photography.txt</v>
      </c>
    </row>
    <row r="200" ht="112.5" customHeight="1">
      <c r="A200" s="1" t="s">
        <v>314</v>
      </c>
      <c r="B200" s="1" t="s">
        <v>356</v>
      </c>
      <c r="C200" s="2" t="str">
        <f>HYPERLINK("https://drive.google.com/file/d/1fSoOE_S_DZZ3VD49U6BMD4aUzTJ5FSTW/view?usp=sharing", IMAGE("https://api.qrserver.com/v1/create-qr-code/?size=150x150&amp;data=https://drive.google.com/file/d/1fSoOE_S_DZZ3VD49U6BMD4aUzTJ5FSTW/view?usp=sharing",1))</f>
        <v/>
      </c>
      <c r="D200" s="3" t="s">
        <v>357</v>
      </c>
      <c r="E200" s="2" t="str">
        <f>HYPERLINK("https://drive.google.com/file/d/1fSoOE_S_DZZ3VD49U6BMD4aUzTJ5FSTW/view?usp=sharing","Hotel Per La Event Marketing.rtf")</f>
        <v>Hotel Per La Event Marketing.rtf</v>
      </c>
    </row>
    <row r="201" ht="112.5" customHeight="1">
      <c r="A201" s="1" t="s">
        <v>317</v>
      </c>
      <c r="B201" s="1" t="s">
        <v>358</v>
      </c>
      <c r="C201" s="2" t="str">
        <f>HYPERLINK("https://drive.google.com/file/d/1AvLjDLxZwbkt9qEHch-k-9HV0-dqc-_D/view?usp=sharing", IMAGE("https://api.qrserver.com/v1/create-qr-code/?size=150x150&amp;data=https://drive.google.com/file/d/1AvLjDLxZwbkt9qEHch-k-9HV0-dqc-_D/view?usp=sharing",1))</f>
        <v/>
      </c>
      <c r="D201" s="3" t="s">
        <v>359</v>
      </c>
      <c r="E201" s="2" t="str">
        <f>HYPERLINK("https://drive.google.com/file/d/1AvLjDLxZwbkt9qEHch-k-9HV0-dqc-_D/view?usp=sharing","Hotel Per La Event Marketing.txt")</f>
        <v>Hotel Per La Event Marketing.txt</v>
      </c>
    </row>
    <row r="202" ht="112.5" customHeight="1">
      <c r="A202" s="1" t="s">
        <v>314</v>
      </c>
      <c r="B202" s="1" t="s">
        <v>360</v>
      </c>
      <c r="C202" s="2" t="str">
        <f>HYPERLINK("https://drive.google.com/file/d/1DDIDpW0Kh8ZI3pIMJSHea56PqjIL-Gia/view?usp=sharing", IMAGE("https://api.qrserver.com/v1/create-qr-code/?size=150x150&amp;data=https://drive.google.com/file/d/1DDIDpW0Kh8ZI3pIMJSHea56PqjIL-Gia/view?usp=sharing",1))</f>
        <v/>
      </c>
      <c r="D202" s="3" t="s">
        <v>361</v>
      </c>
      <c r="E202" s="2" t="str">
        <f>HYPERLINK("https://drive.google.com/file/d/1DDIDpW0Kh8ZI3pIMJSHea56PqjIL-Gia/view?usp=sharing","High Net Worth Photography Services.rtf")</f>
        <v>High Net Worth Photography Services.rtf</v>
      </c>
    </row>
    <row r="203" ht="112.5" customHeight="1">
      <c r="A203" s="1" t="s">
        <v>317</v>
      </c>
      <c r="B203" s="1" t="s">
        <v>362</v>
      </c>
      <c r="C203" s="2" t="str">
        <f>HYPERLINK("https://drive.google.com/file/d/1fY55Wp3s6n-pMRFEkpdTXWAmJ1BYP6fd/view?usp=sharing", IMAGE("https://api.qrserver.com/v1/create-qr-code/?size=150x150&amp;data=https://drive.google.com/file/d/1fY55Wp3s6n-pMRFEkpdTXWAmJ1BYP6fd/view?usp=sharing",1))</f>
        <v/>
      </c>
      <c r="D203" s="3" t="s">
        <v>363</v>
      </c>
      <c r="E203" s="2" t="str">
        <f>HYPERLINK("https://drive.google.com/file/d/1fY55Wp3s6n-pMRFEkpdTXWAmJ1BYP6fd/view?usp=sharing","High Net Worth Photography Services.txt")</f>
        <v>High Net Worth Photography Services.txt</v>
      </c>
    </row>
    <row r="204" ht="112.5" customHeight="1">
      <c r="A204" s="1" t="s">
        <v>314</v>
      </c>
      <c r="B204" s="1" t="s">
        <v>364</v>
      </c>
      <c r="C204" s="2" t="str">
        <f>HYPERLINK("https://drive.google.com/file/d/11iBbCEm2vr0vjxp_-kJpd3n72kZ61gj3/view?usp=sharing", IMAGE("https://api.qrserver.com/v1/create-qr-code/?size=150x150&amp;data=https://drive.google.com/file/d/11iBbCEm2vr0vjxp_-kJpd3n72kZ61gj3/view?usp=sharing",1))</f>
        <v/>
      </c>
      <c r="D204" s="3" t="s">
        <v>365</v>
      </c>
      <c r="E204" s="2" t="str">
        <f>HYPERLINK("https://drive.google.com/file/d/11iBbCEm2vr0vjxp_-kJpd3n72kZ61gj3/view?usp=sharing","Luxury Gala Photography Los Angeles.rtf")</f>
        <v>Luxury Gala Photography Los Angeles.rtf</v>
      </c>
    </row>
    <row r="205" ht="112.5" customHeight="1">
      <c r="A205" s="1" t="s">
        <v>317</v>
      </c>
      <c r="B205" s="1" t="s">
        <v>366</v>
      </c>
      <c r="C205" s="2" t="str">
        <f>HYPERLINK("https://drive.google.com/file/d/1dm_3SazyE5OeMhUXX9W8VzFmzzhqd5Qe/view?usp=sharing", IMAGE("https://api.qrserver.com/v1/create-qr-code/?size=150x150&amp;data=https://drive.google.com/file/d/1dm_3SazyE5OeMhUXX9W8VzFmzzhqd5Qe/view?usp=sharing",1))</f>
        <v/>
      </c>
      <c r="D205" s="3" t="s">
        <v>367</v>
      </c>
      <c r="E205" s="2" t="str">
        <f>HYPERLINK("https://drive.google.com/file/d/1dm_3SazyE5OeMhUXX9W8VzFmzzhqd5Qe/view?usp=sharing","Luxury Gala Photography Los Angeles.txt")</f>
        <v>Luxury Gala Photography Los Angeles.txt</v>
      </c>
    </row>
    <row r="206" ht="112.5" customHeight="1">
      <c r="A206" s="1" t="s">
        <v>314</v>
      </c>
      <c r="B206" s="1" t="s">
        <v>368</v>
      </c>
      <c r="C206" s="2" t="str">
        <f>HYPERLINK("https://drive.google.com/file/d/1UrZfySCtPWc8x5sK5eTJH01O6FMScHRR/view?usp=sharing", IMAGE("https://api.qrserver.com/v1/create-qr-code/?size=150x150&amp;data=https://drive.google.com/file/d/1UrZfySCtPWc8x5sK5eTJH01O6FMScHRR/view?usp=sharing",1))</f>
        <v/>
      </c>
      <c r="D206" s="3" t="s">
        <v>369</v>
      </c>
      <c r="E206" s="2" t="str">
        <f>HYPERLINK("https://drive.google.com/file/d/1UrZfySCtPWc8x5sK5eTJH01O6FMScHRR/view?usp=sharing","Boutique Event Marketing Agency LA.rtf")</f>
        <v>Boutique Event Marketing Agency LA.rtf</v>
      </c>
    </row>
    <row r="207" ht="112.5" customHeight="1">
      <c r="A207" s="1" t="s">
        <v>317</v>
      </c>
      <c r="B207" s="1" t="s">
        <v>370</v>
      </c>
      <c r="C207" s="2" t="str">
        <f>HYPERLINK("https://drive.google.com/file/d/11_JbpF26yGOtIWlI3zEHa7J8bRNL2DIS/view?usp=sharing", IMAGE("https://api.qrserver.com/v1/create-qr-code/?size=150x150&amp;data=https://drive.google.com/file/d/11_JbpF26yGOtIWlI3zEHa7J8bRNL2DIS/view?usp=sharing",1))</f>
        <v/>
      </c>
      <c r="D207" s="3" t="s">
        <v>371</v>
      </c>
      <c r="E207" s="2" t="str">
        <f>HYPERLINK("https://drive.google.com/file/d/11_JbpF26yGOtIWlI3zEHa7J8bRNL2DIS/view?usp=sharing","Boutique Event Marketing Agency LA.txt")</f>
        <v>Boutique Event Marketing Agency LA.txt</v>
      </c>
    </row>
    <row r="208" ht="112.5" customHeight="1">
      <c r="A208" s="1" t="s">
        <v>314</v>
      </c>
      <c r="B208" s="1" t="s">
        <v>372</v>
      </c>
      <c r="C208" s="2" t="str">
        <f>HYPERLINK("https://drive.google.com/file/d/10iM7jhscTlATQQz5KoqeGmFdh6zfU6L1/view?usp=sharing", IMAGE("https://api.qrserver.com/v1/create-qr-code/?size=150x150&amp;data=https://drive.google.com/file/d/10iM7jhscTlATQQz5KoqeGmFdh6zfU6L1/view?usp=sharing",1))</f>
        <v/>
      </c>
      <c r="D208" s="3" t="s">
        <v>373</v>
      </c>
      <c r="E208" s="2" t="str">
        <f>HYPERLINK("https://drive.google.com/file/d/10iM7jhscTlATQQz5KoqeGmFdh6zfU6L1/view?usp=sharing","Premium Visual Brand Strategy.rtf")</f>
        <v>Premium Visual Brand Strategy.rtf</v>
      </c>
    </row>
    <row r="209" ht="112.5" customHeight="1">
      <c r="A209" s="1" t="s">
        <v>317</v>
      </c>
      <c r="B209" s="1" t="s">
        <v>374</v>
      </c>
      <c r="C209" s="2" t="str">
        <f>HYPERLINK("https://drive.google.com/file/d/1btx0-MB3RggoN72QnYspPIkzfNSn-L5P/view?usp=sharing", IMAGE("https://api.qrserver.com/v1/create-qr-code/?size=150x150&amp;data=https://drive.google.com/file/d/1btx0-MB3RggoN72QnYspPIkzfNSn-L5P/view?usp=sharing",1))</f>
        <v/>
      </c>
      <c r="D209" s="3" t="s">
        <v>375</v>
      </c>
      <c r="E209" s="2" t="str">
        <f>HYPERLINK("https://drive.google.com/file/d/1btx0-MB3RggoN72QnYspPIkzfNSn-L5P/view?usp=sharing","Premium Visual Brand Strategy.txt")</f>
        <v>Premium Visual Brand Strategy.txt</v>
      </c>
    </row>
    <row r="210" ht="112.5" customHeight="1">
      <c r="A210" s="1" t="s">
        <v>314</v>
      </c>
      <c r="B210" s="1" t="s">
        <v>376</v>
      </c>
      <c r="C210" s="2" t="str">
        <f>HYPERLINK("https://drive.google.com/file/d/1lbMyhJVLja0lGgJMJje1LA8ELECqrTs9/view?usp=sharing", IMAGE("https://api.qrserver.com/v1/create-qr-code/?size=150x150&amp;data=https://drive.google.com/file/d/1lbMyhJVLja0lGgJMJje1LA8ELECqrTs9/view?usp=sharing",1))</f>
        <v/>
      </c>
      <c r="D210" s="3" t="s">
        <v>377</v>
      </c>
      <c r="E210" s="2" t="str">
        <f>HYPERLINK("https://drive.google.com/file/d/1lbMyhJVLja0lGgJMJje1LA8ELECqrTs9/view?usp=sharing","Private Estate Event Photography.rtf")</f>
        <v>Private Estate Event Photography.rtf</v>
      </c>
    </row>
    <row r="211" ht="112.5" customHeight="1">
      <c r="A211" s="1" t="s">
        <v>317</v>
      </c>
      <c r="B211" s="1" t="s">
        <v>378</v>
      </c>
      <c r="C211" s="2" t="str">
        <f>HYPERLINK("https://drive.google.com/file/d/128UVMjbVEmGMYBte4PsGQ0y2oFmtqiQA/view?usp=sharing", IMAGE("https://api.qrserver.com/v1/create-qr-code/?size=150x150&amp;data=https://drive.google.com/file/d/128UVMjbVEmGMYBte4PsGQ0y2oFmtqiQA/view?usp=sharing",1))</f>
        <v/>
      </c>
      <c r="D211" s="3" t="s">
        <v>379</v>
      </c>
      <c r="E211" s="2" t="str">
        <f>HYPERLINK("https://drive.google.com/file/d/128UVMjbVEmGMYBte4PsGQ0y2oFmtqiQA/view?usp=sharing","Private Estate Event Photography.txt")</f>
        <v>Private Estate Event Photography.txt</v>
      </c>
    </row>
    <row r="212" ht="112.5" customHeight="1">
      <c r="A212" s="1" t="s">
        <v>314</v>
      </c>
      <c r="B212" s="1" t="s">
        <v>380</v>
      </c>
      <c r="C212" s="2" t="str">
        <f>HYPERLINK("https://drive.google.com/file/d/1Y6nReUpNe_dtlocxyAJnyi7kKdG4PMwM/view?usp=sharing", IMAGE("https://api.qrserver.com/v1/create-qr-code/?size=150x150&amp;data=https://drive.google.com/file/d/1Y6nReUpNe_dtlocxyAJnyi7kKdG4PMwM/view?usp=sharing",1))</f>
        <v/>
      </c>
      <c r="D212" s="3" t="s">
        <v>381</v>
      </c>
      <c r="E212" s="2" t="str">
        <f>HYPERLINK("https://drive.google.com/file/d/1Y6nReUpNe_dtlocxyAJnyi7kKdG4PMwM/view?usp=sharing","Elite Corporate Event Marketing.rtf")</f>
        <v>Elite Corporate Event Marketing.rtf</v>
      </c>
    </row>
    <row r="213" ht="112.5" customHeight="1">
      <c r="A213" s="1" t="s">
        <v>317</v>
      </c>
      <c r="B213" s="1" t="s">
        <v>382</v>
      </c>
      <c r="C213" s="2" t="str">
        <f>HYPERLINK("https://drive.google.com/file/d/1IcCbxey2MiNJgDJuJOLtYfRRvI8YQ7U7/view?usp=sharing", IMAGE("https://api.qrserver.com/v1/create-qr-code/?size=150x150&amp;data=https://drive.google.com/file/d/1IcCbxey2MiNJgDJuJOLtYfRRvI8YQ7U7/view?usp=sharing",1))</f>
        <v/>
      </c>
      <c r="D213" s="3" t="s">
        <v>383</v>
      </c>
      <c r="E213" s="2" t="str">
        <f>HYPERLINK("https://drive.google.com/file/d/1IcCbxey2MiNJgDJuJOLtYfRRvI8YQ7U7/view?usp=sharing","Elite Corporate Event Marketing.txt")</f>
        <v>Elite Corporate Event Marketing.txt</v>
      </c>
    </row>
    <row r="214" ht="112.5" customHeight="1">
      <c r="A214" s="1" t="s">
        <v>314</v>
      </c>
      <c r="B214" s="1" t="s">
        <v>384</v>
      </c>
      <c r="C214" s="2" t="str">
        <f>HYPERLINK("https://drive.google.com/file/d/1oIsJCTYgD_6wPqV4j6hkGBZ4jpb1yVEz/view?usp=sharing", IMAGE("https://api.qrserver.com/v1/create-qr-code/?size=150x150&amp;data=https://drive.google.com/file/d/1oIsJCTYgD_6wPqV4j6hkGBZ4jpb1yVEz/view?usp=sharing",1))</f>
        <v/>
      </c>
      <c r="D214" s="3" t="s">
        <v>385</v>
      </c>
      <c r="E214" s="2" t="str">
        <f>HYPERLINK("https://drive.google.com/file/d/1oIsJCTYgD_6wPqV4j6hkGBZ4jpb1yVEz/view?usp=sharing","Ultra Luxury Brand Activation LA.rtf")</f>
        <v>Ultra Luxury Brand Activation LA.rtf</v>
      </c>
    </row>
    <row r="215" ht="112.5" customHeight="1">
      <c r="A215" s="1" t="s">
        <v>317</v>
      </c>
      <c r="B215" s="1" t="s">
        <v>386</v>
      </c>
      <c r="C215" s="2" t="str">
        <f>HYPERLINK("https://drive.google.com/file/d/1scmutnPM8VhW6NZb3ilvyybTr0MCkAhy/view?usp=sharing", IMAGE("https://api.qrserver.com/v1/create-qr-code/?size=150x150&amp;data=https://drive.google.com/file/d/1scmutnPM8VhW6NZb3ilvyybTr0MCkAhy/view?usp=sharing",1))</f>
        <v/>
      </c>
      <c r="D215" s="3" t="s">
        <v>387</v>
      </c>
      <c r="E215" s="2" t="str">
        <f>HYPERLINK("https://drive.google.com/file/d/1scmutnPM8VhW6NZb3ilvyybTr0MCkAhy/view?usp=sharing","Ultra Luxury Brand Activation LA.txt")</f>
        <v>Ultra Luxury Brand Activation LA.txt</v>
      </c>
    </row>
    <row r="216" ht="112.5" customHeight="1">
      <c r="A216" s="1" t="s">
        <v>314</v>
      </c>
      <c r="B216" s="1" t="s">
        <v>388</v>
      </c>
      <c r="C216" s="2" t="str">
        <f>HYPERLINK("https://drive.google.com/file/d/1JUNYz2vuTURqkkSE6IT9HBjFmNNDsvmM/view?usp=sharing", IMAGE("https://api.qrserver.com/v1/create-qr-code/?size=150x150&amp;data=https://drive.google.com/file/d/1JUNYz2vuTURqkkSE6IT9HBjFmNNDsvmM/view?usp=sharing",1))</f>
        <v/>
      </c>
      <c r="D216" s="3" t="s">
        <v>389</v>
      </c>
      <c r="E216" s="2" t="str">
        <f>HYPERLINK("https://drive.google.com/file/d/1JUNYz2vuTURqkkSE6IT9HBjFmNNDsvmM/view?usp=sharing","The Maybourne Beverly Hills Marketing.rtf")</f>
        <v>The Maybourne Beverly Hills Marketing.rtf</v>
      </c>
    </row>
    <row r="217" ht="112.5" customHeight="1">
      <c r="A217" s="1" t="s">
        <v>317</v>
      </c>
      <c r="B217" s="1" t="s">
        <v>390</v>
      </c>
      <c r="C217" s="2" t="str">
        <f>HYPERLINK("https://drive.google.com/file/d/1HWcQ2FU7poYi9l3qjs4hPA5T32Y73TlO/view?usp=sharing", IMAGE("https://api.qrserver.com/v1/create-qr-code/?size=150x150&amp;data=https://drive.google.com/file/d/1HWcQ2FU7poYi9l3qjs4hPA5T32Y73TlO/view?usp=sharing",1))</f>
        <v/>
      </c>
      <c r="D217" s="3" t="s">
        <v>391</v>
      </c>
      <c r="E217" s="2" t="str">
        <f>HYPERLINK("https://drive.google.com/file/d/1HWcQ2FU7poYi9l3qjs4hPA5T32Y73TlO/view?usp=sharing","The Maybourne Beverly Hills Marketing.txt")</f>
        <v>The Maybourne Beverly Hills Marketing.txt</v>
      </c>
    </row>
    <row r="218" ht="112.5" customHeight="1">
      <c r="A218" s="1" t="s">
        <v>314</v>
      </c>
      <c r="B218" s="1" t="s">
        <v>392</v>
      </c>
      <c r="C218" s="2" t="str">
        <f>HYPERLINK("https://drive.google.com/file/d/1avpGmPagV0TLtR6GT2Ug3ST-i3aSPXLN/view?usp=sharing", IMAGE("https://api.qrserver.com/v1/create-qr-code/?size=150x150&amp;data=https://drive.google.com/file/d/1avpGmPagV0TLtR6GT2Ug3ST-i3aSPXLN/view?usp=sharing",1))</f>
        <v/>
      </c>
      <c r="D218" s="3" t="s">
        <v>393</v>
      </c>
      <c r="E218" s="2" t="str">
        <f>HYPERLINK("https://drive.google.com/file/d/1avpGmPagV0TLtR6GT2Ug3ST-i3aSPXLN/view?usp=sharing","Waldorf Astoria Beverly Hills Photo.rtf")</f>
        <v>Waldorf Astoria Beverly Hills Photo.rtf</v>
      </c>
    </row>
    <row r="219" ht="112.5" customHeight="1">
      <c r="A219" s="1" t="s">
        <v>317</v>
      </c>
      <c r="B219" s="1" t="s">
        <v>394</v>
      </c>
      <c r="C219" s="2" t="str">
        <f>HYPERLINK("https://drive.google.com/file/d/1nPPNGb6HXxXf7RNkVMPLB5ggWmBdwdkh/view?usp=sharing", IMAGE("https://api.qrserver.com/v1/create-qr-code/?size=150x150&amp;data=https://drive.google.com/file/d/1nPPNGb6HXxXf7RNkVMPLB5ggWmBdwdkh/view?usp=sharing",1))</f>
        <v/>
      </c>
      <c r="D219" s="3" t="s">
        <v>395</v>
      </c>
      <c r="E219" s="2" t="str">
        <f>HYPERLINK("https://drive.google.com/file/d/1nPPNGb6HXxXf7RNkVMPLB5ggWmBdwdkh/view?usp=sharing","Waldorf Astoria Beverly Hills Photo.txt")</f>
        <v>Waldorf Astoria Beverly Hills Photo.txt</v>
      </c>
    </row>
    <row r="220" ht="112.5" customHeight="1">
      <c r="A220" s="1" t="s">
        <v>314</v>
      </c>
      <c r="B220" s="1" t="s">
        <v>396</v>
      </c>
      <c r="C220" s="2" t="str">
        <f>HYPERLINK("https://drive.google.com/file/d/1of0qZyHpyBD1IJPnY3tc-sYogHssJl45/view?usp=sharing", IMAGE("https://api.qrserver.com/v1/create-qr-code/?size=150x150&amp;data=https://drive.google.com/file/d/1of0qZyHpyBD1IJPnY3tc-sYogHssJl45/view?usp=sharing",1))</f>
        <v/>
      </c>
      <c r="D220" s="3" t="s">
        <v>397</v>
      </c>
      <c r="E220" s="2" t="str">
        <f>HYPERLINK("https://drive.google.com/file/d/1of0qZyHpyBD1IJPnY3tc-sYogHssJl45/view?usp=sharing","The Beverly Hills Hotel Event Marketing.rtf")</f>
        <v>The Beverly Hills Hotel Event Marketing.rtf</v>
      </c>
    </row>
    <row r="221" ht="112.5" customHeight="1">
      <c r="A221" s="1" t="s">
        <v>317</v>
      </c>
      <c r="B221" s="1" t="s">
        <v>398</v>
      </c>
      <c r="C221" s="2" t="str">
        <f>HYPERLINK("https://drive.google.com/file/d/1tUZLcBKSuDhwFLyolyDKq7TQqFjNR3rB/view?usp=sharing", IMAGE("https://api.qrserver.com/v1/create-qr-code/?size=150x150&amp;data=https://drive.google.com/file/d/1tUZLcBKSuDhwFLyolyDKq7TQqFjNR3rB/view?usp=sharing",1))</f>
        <v/>
      </c>
      <c r="D221" s="3" t="s">
        <v>399</v>
      </c>
      <c r="E221" s="2" t="str">
        <f>HYPERLINK("https://drive.google.com/file/d/1tUZLcBKSuDhwFLyolyDKq7TQqFjNR3rB/view?usp=sharing","The Beverly Hills Hotel Event Marketing.txt")</f>
        <v>The Beverly Hills Hotel Event Marketing.txt</v>
      </c>
    </row>
    <row r="222" ht="112.5" customHeight="1">
      <c r="A222" s="1" t="s">
        <v>288</v>
      </c>
      <c r="B222" s="1" t="s">
        <v>289</v>
      </c>
      <c r="C222" s="2" t="str">
        <f>HYPERLINK("https://drive.google.com/file/d/1z2VfzMqOc_290sAHpZrHIyLkGXTRL0B2/view?usp=sharing", IMAGE("https://api.qrserver.com/v1/create-qr-code/?size=150x150&amp;data=https://drive.google.com/file/d/1z2VfzMqOc_290sAHpZrHIyLkGXTRL0B2/view?usp=sharing",1))</f>
        <v/>
      </c>
      <c r="D222" s="3" t="s">
        <v>400</v>
      </c>
      <c r="E222" s="2" t="str">
        <f>HYPERLINK("https://drive.google.com/file/d/1z2VfzMqOc_290sAHpZrHIyLkGXTRL0B2/view?usp=sharing","The Beverly Hills Hotel Event Marketing-The Beverly Hills Hotel Event Marketing.ods")</f>
        <v>The Beverly Hills Hotel Event Marketing-The Beverly Hills Hotel Event Marketing.ods</v>
      </c>
    </row>
    <row r="223" ht="112.5" customHeight="1">
      <c r="A223" s="1" t="s">
        <v>288</v>
      </c>
      <c r="B223" s="1" t="s">
        <v>294</v>
      </c>
      <c r="C223" s="2" t="str">
        <f>HYPERLINK("https://drive.google.com/file/d/1vT316oop_RDEFAdTJ5picMjImtFi_U-m/view?usp=sharing", IMAGE("https://api.qrserver.com/v1/create-qr-code/?size=150x150&amp;data=https://drive.google.com/file/d/1vT316oop_RDEFAdTJ5picMjImtFi_U-m/view?usp=sharing",1))</f>
        <v/>
      </c>
      <c r="D223" s="3" t="s">
        <v>401</v>
      </c>
      <c r="E223" s="2" t="str">
        <f>HYPERLINK("https://drive.google.com/file/d/1vT316oop_RDEFAdTJ5picMjImtFi_U-m/view?usp=sharing","The Beverly Hills Hotel Event Marketing-Keywords.ods")</f>
        <v>The Beverly Hills Hotel Event Marketing-Keywords.ods</v>
      </c>
    </row>
    <row r="224" ht="112.5" customHeight="1">
      <c r="A224" s="1" t="s">
        <v>288</v>
      </c>
      <c r="B224" s="1" t="s">
        <v>298</v>
      </c>
      <c r="C224" s="2" t="str">
        <f>HYPERLINK("https://drive.google.com/file/d/1Gc4vKiM-XzG1P7CZXtfhp7nAfWELehdA/view?usp=sharing", IMAGE("https://api.qrserver.com/v1/create-qr-code/?size=150x150&amp;data=https://drive.google.com/file/d/1Gc4vKiM-XzG1P7CZXtfhp7nAfWELehdA/view?usp=sharing",1))</f>
        <v/>
      </c>
      <c r="D224" s="3" t="s">
        <v>402</v>
      </c>
      <c r="E224" s="2" t="str">
        <f>HYPERLINK("https://drive.google.com/file/d/1Gc4vKiM-XzG1P7CZXtfhp7nAfWELehdA/view?usp=sharing","The Beverly Hills Hotel Event Marketing-Content.ods")</f>
        <v>The Beverly Hills Hotel Event Marketing-Content.ods</v>
      </c>
    </row>
    <row r="225" ht="112.5" customHeight="1">
      <c r="A225" s="1" t="s">
        <v>288</v>
      </c>
      <c r="B225" s="1" t="s">
        <v>302</v>
      </c>
      <c r="C225" s="2" t="str">
        <f>HYPERLINK("https://drive.google.com/file/d/1iHHrR4UEPj18vTPQetXBuTlE-h62Dmdc/view?usp=sharing", IMAGE("https://api.qrserver.com/v1/create-qr-code/?size=150x150&amp;data=https://drive.google.com/file/d/1iHHrR4UEPj18vTPQetXBuTlE-h62Dmdc/view?usp=sharing",1))</f>
        <v/>
      </c>
      <c r="D225" s="3" t="s">
        <v>403</v>
      </c>
      <c r="E225" s="2" t="str">
        <f>HYPERLINK("https://drive.google.com/file/d/1iHHrR4UEPj18vTPQetXBuTlE-h62Dmdc/view?usp=sharing","The Beverly Hills Hotel Event Marketing-Calendar Events.ods")</f>
        <v>The Beverly Hills Hotel Event Marketing-Calendar Events.ods</v>
      </c>
    </row>
    <row r="226" ht="112.5" customHeight="1">
      <c r="A226" s="1" t="s">
        <v>288</v>
      </c>
      <c r="B226" s="1" t="s">
        <v>306</v>
      </c>
      <c r="C226" s="2" t="str">
        <f>HYPERLINK("https://drive.google.com/file/d/1R9v48sJxtoloNaiUfEDTqrBNmcOsTo2p/view?usp=sharing", IMAGE("https://api.qrserver.com/v1/create-qr-code/?size=150x150&amp;data=https://drive.google.com/file/d/1R9v48sJxtoloNaiUfEDTqrBNmcOsTo2p/view?usp=sharing",1))</f>
        <v/>
      </c>
      <c r="D226" s="3" t="s">
        <v>404</v>
      </c>
      <c r="E226" s="2" t="str">
        <f>HYPERLINK("https://drive.google.com/file/d/1R9v48sJxtoloNaiUfEDTqrBNmcOsTo2p/view?usp=sharing","The Beverly Hills Hotel Event Marketing-RSS Feeds.ods")</f>
        <v>The Beverly Hills Hotel Event Marketing-RSS Feeds.ods</v>
      </c>
    </row>
    <row r="227" ht="112.5" customHeight="1">
      <c r="A227" s="1" t="s">
        <v>288</v>
      </c>
      <c r="B227" s="1" t="s">
        <v>310</v>
      </c>
      <c r="C227" s="2" t="str">
        <f>HYPERLINK("https://drive.google.com/file/d/1UTjQaLcvYH_15Lzf4KVmXW48NLTACaIP/view?usp=sharing", IMAGE("https://api.qrserver.com/v1/create-qr-code/?size=150x150&amp;data=https://drive.google.com/file/d/1UTjQaLcvYH_15Lzf4KVmXW48NLTACaIP/view?usp=sharing",1))</f>
        <v/>
      </c>
      <c r="D227" s="3" t="s">
        <v>405</v>
      </c>
      <c r="E227" s="2" t="str">
        <f>HYPERLINK("https://drive.google.com/file/d/1UTjQaLcvYH_15Lzf4KVmXW48NLTACaIP/view?usp=sharing","The Beverly Hills Hotel Event Marketing-Iframe Embeds.ods")</f>
        <v>The Beverly Hills Hotel Event Marketing-Iframe Embeds.ods</v>
      </c>
    </row>
    <row r="228" ht="112.5" customHeight="1">
      <c r="A228" s="1" t="s">
        <v>406</v>
      </c>
      <c r="B228" s="1" t="s">
        <v>407</v>
      </c>
      <c r="C228" s="2" t="str">
        <f>HYPERLINK("https://drive.google.com/file/d/12MDW1CShuHD7fUYkX5-8NyGMdRh4wTXo/view?usp=sharing", IMAGE("https://api.qrserver.com/v1/create-qr-code/?size=150x150&amp;data=https://drive.google.com/file/d/12MDW1CShuHD7fUYkX5-8NyGMdRh4wTXo/view?usp=sharing",1))</f>
        <v/>
      </c>
      <c r="D228" s="3" t="s">
        <v>408</v>
      </c>
      <c r="E228" s="2" t="str">
        <f>HYPERLINK("https://drive.google.com/file/d/12MDW1CShuHD7fUYkX5-8NyGMdRh4wTXo/view?usp=sharing","Chateau Marmont Event Photography.pdf")</f>
        <v>Chateau Marmont Event Photography.pdf</v>
      </c>
    </row>
    <row r="229" ht="112.5" customHeight="1">
      <c r="A229" s="1" t="s">
        <v>406</v>
      </c>
      <c r="B229" s="1" t="s">
        <v>409</v>
      </c>
      <c r="C229" s="2" t="str">
        <f>HYPERLINK("https://drive.google.com/file/d/1z0HhWKeh6pnhjIY_PDZ1wkFQEoSPdeE4/view?usp=sharing", IMAGE("https://api.qrserver.com/v1/create-qr-code/?size=150x150&amp;data=https://drive.google.com/file/d/1z0HhWKeh6pnhjIY_PDZ1wkFQEoSPdeE4/view?usp=sharing",1))</f>
        <v/>
      </c>
      <c r="D229" s="3" t="s">
        <v>410</v>
      </c>
      <c r="E229" s="2" t="str">
        <f>HYPERLINK("https://drive.google.com/file/d/1z0HhWKeh6pnhjIY_PDZ1wkFQEoSPdeE4/view?usp=sharing","Soho House West Hollywood Marketing.pdf")</f>
        <v>Soho House West Hollywood Marketing.pdf</v>
      </c>
    </row>
    <row r="230" ht="112.5" customHeight="1">
      <c r="A230" s="1" t="s">
        <v>406</v>
      </c>
      <c r="B230" s="1" t="s">
        <v>411</v>
      </c>
      <c r="C230" s="2" t="str">
        <f>HYPERLINK("https://drive.google.com/file/d/1HOx08dni4CrkBSJAncoozO2mJmZ23qV7/view?usp=sharing", IMAGE("https://api.qrserver.com/v1/create-qr-code/?size=150x150&amp;data=https://drive.google.com/file/d/1HOx08dni4CrkBSJAncoozO2mJmZ23qV7/view?usp=sharing",1))</f>
        <v/>
      </c>
      <c r="D230" s="3" t="s">
        <v>412</v>
      </c>
      <c r="E230" s="2" t="str">
        <f>HYPERLINK("https://drive.google.com/file/d/1HOx08dni4CrkBSJAncoozO2mJmZ23qV7/view?usp=sharing","Greystone Mansion Photo Marketing.pdf")</f>
        <v>Greystone Mansion Photo Marketing.pdf</v>
      </c>
    </row>
    <row r="231" ht="112.5" customHeight="1">
      <c r="A231" s="1" t="s">
        <v>406</v>
      </c>
      <c r="B231" s="1" t="s">
        <v>413</v>
      </c>
      <c r="C231" s="2" t="str">
        <f>HYPERLINK("https://drive.google.com/file/d/1ULeLuCwtirONuZRBWf4CNyj21bDyVQMk/view?usp=sharing", IMAGE("https://api.qrserver.com/v1/create-qr-code/?size=150x150&amp;data=https://drive.google.com/file/d/1ULeLuCwtirONuZRBWf4CNyj21bDyVQMk/view?usp=sharing",1))</f>
        <v/>
      </c>
      <c r="D231" s="3" t="s">
        <v>414</v>
      </c>
      <c r="E231" s="2" t="str">
        <f>HYPERLINK("https://drive.google.com/file/d/1ULeLuCwtirONuZRBWf4CNyj21bDyVQMk/view?usp=sharing","The London West Hollywood Photography.pdf")</f>
        <v>The London West Hollywood Photography.pdf</v>
      </c>
    </row>
    <row r="232" ht="112.5" customHeight="1">
      <c r="A232" s="1" t="s">
        <v>406</v>
      </c>
      <c r="B232" s="1" t="s">
        <v>415</v>
      </c>
      <c r="C232" s="2" t="str">
        <f>HYPERLINK("https://drive.google.com/file/d/1ldQJXnVuzVMGP_RK8FLjWUmfBPAj5A0V/view?usp=sharing", IMAGE("https://api.qrserver.com/v1/create-qr-code/?size=150x150&amp;data=https://drive.google.com/file/d/1ldQJXnVuzVMGP_RK8FLjWUmfBPAj5A0V/view?usp=sharing",1))</f>
        <v/>
      </c>
      <c r="D232" s="3" t="s">
        <v>416</v>
      </c>
      <c r="E232" s="2" t="str">
        <f>HYPERLINK("https://drive.google.com/file/d/1ldQJXnVuzVMGP_RK8FLjWUmfBPAj5A0V/view?usp=sharing","Hammer Museum Event Photography.pdf")</f>
        <v>Hammer Museum Event Photography.pdf</v>
      </c>
    </row>
    <row r="233" ht="112.5" customHeight="1">
      <c r="A233" s="1" t="s">
        <v>406</v>
      </c>
      <c r="B233" s="1" t="s">
        <v>417</v>
      </c>
      <c r="C233" s="2" t="str">
        <f>HYPERLINK("https://drive.google.com/file/d/1ZUjn8QZ1uvqwtojpkTKX9o9PpMyv-5U0/view?usp=sharing", IMAGE("https://api.qrserver.com/v1/create-qr-code/?size=150x150&amp;data=https://drive.google.com/file/d/1ZUjn8QZ1uvqwtojpkTKX9o9PpMyv-5U0/view?usp=sharing",1))</f>
        <v/>
      </c>
      <c r="D233" s="3" t="s">
        <v>418</v>
      </c>
      <c r="E233" s="2" t="str">
        <f>HYPERLINK("https://drive.google.com/file/d/1ZUjn8QZ1uvqwtojpkTKX9o9PpMyv-5U0/view?usp=sharing","Skirball Cultural Center Marketing.pdf")</f>
        <v>Skirball Cultural Center Marketing.pdf</v>
      </c>
    </row>
    <row r="234" ht="112.5" customHeight="1">
      <c r="A234" s="1" t="s">
        <v>406</v>
      </c>
      <c r="B234" s="1" t="s">
        <v>419</v>
      </c>
      <c r="C234" s="2" t="str">
        <f>HYPERLINK("https://drive.google.com/file/d/1TveqYbbf61vOanVhn4YmcTwYf0ko__yl/view?usp=sharing", IMAGE("https://api.qrserver.com/v1/create-qr-code/?size=150x150&amp;data=https://drive.google.com/file/d/1TveqYbbf61vOanVhn4YmcTwYf0ko__yl/view?usp=sharing",1))</f>
        <v/>
      </c>
      <c r="D234" s="3" t="s">
        <v>420</v>
      </c>
      <c r="E234" s="2" t="str">
        <f>HYPERLINK("https://drive.google.com/file/d/1TveqYbbf61vOanVhn4YmcTwYf0ko__yl/view?usp=sharing","Vibiana Los Angeles Photo Marketing.pdf")</f>
        <v>Vibiana Los Angeles Photo Marketing.pdf</v>
      </c>
    </row>
    <row r="235" ht="112.5" customHeight="1">
      <c r="A235" s="1" t="s">
        <v>406</v>
      </c>
      <c r="B235" s="1" t="s">
        <v>421</v>
      </c>
      <c r="C235" s="2" t="str">
        <f>HYPERLINK("https://drive.google.com/file/d/14uevtJScXVfLzV6QNT9eYWQ2i2Nwpk1b/view?usp=sharing", IMAGE("https://api.qrserver.com/v1/create-qr-code/?size=150x150&amp;data=https://drive.google.com/file/d/14uevtJScXVfLzV6QNT9eYWQ2i2Nwpk1b/view?usp=sharing",1))</f>
        <v/>
      </c>
      <c r="D235" s="3" t="s">
        <v>422</v>
      </c>
      <c r="E235" s="2" t="str">
        <f>HYPERLINK("https://drive.google.com/file/d/14uevtJScXVfLzV6QNT9eYWQ2i2Nwpk1b/view?usp=sharing","The Revery LA Event Photography.pdf")</f>
        <v>The Revery LA Event Photography.pdf</v>
      </c>
    </row>
    <row r="236" ht="112.5" customHeight="1">
      <c r="A236" s="1" t="s">
        <v>406</v>
      </c>
      <c r="B236" s="1" t="s">
        <v>423</v>
      </c>
      <c r="C236" s="2" t="str">
        <f>HYPERLINK("https://drive.google.com/file/d/1t0Ml73Rjt9u-Cv-Uhxkxf5K_GHUvTTGk/view?usp=sharing", IMAGE("https://api.qrserver.com/v1/create-qr-code/?size=150x150&amp;data=https://drive.google.com/file/d/1t0Ml73Rjt9u-Cv-Uhxkxf5K_GHUvTTGk/view?usp=sharing",1))</f>
        <v/>
      </c>
      <c r="D236" s="3" t="s">
        <v>424</v>
      </c>
      <c r="E236" s="2" t="str">
        <f>HYPERLINK("https://drive.google.com/file/d/1t0Ml73Rjt9u-Cv-Uhxkxf5K_GHUvTTGk/view?usp=sharing","Pelican Hill Luxury Brand Photo.pdf")</f>
        <v>Pelican Hill Luxury Brand Photo.pdf</v>
      </c>
    </row>
    <row r="237" ht="112.5" customHeight="1">
      <c r="A237" s="1" t="s">
        <v>406</v>
      </c>
      <c r="B237" s="1" t="s">
        <v>425</v>
      </c>
      <c r="C237" s="2" t="str">
        <f>HYPERLINK("https://drive.google.com/file/d/1n-fv9PgrJCz-0D2x7V7i1SwkiojyWGp6/view?usp=sharing", IMAGE("https://api.qrserver.com/v1/create-qr-code/?size=150x150&amp;data=https://drive.google.com/file/d/1n-fv9PgrJCz-0D2x7V7i1SwkiojyWGp6/view?usp=sharing",1))</f>
        <v/>
      </c>
      <c r="D237" s="3" t="s">
        <v>426</v>
      </c>
      <c r="E237" s="2" t="str">
        <f>HYPERLINK("https://drive.google.com/file/d/1n-fv9PgrJCz-0D2x7V7i1SwkiojyWGp6/view?usp=sharing","Lombardi House Marketing Photography.pdf")</f>
        <v>Lombardi House Marketing Photography.pdf</v>
      </c>
    </row>
    <row r="238" ht="112.5" customHeight="1">
      <c r="A238" s="1" t="s">
        <v>406</v>
      </c>
      <c r="B238" s="1" t="s">
        <v>427</v>
      </c>
      <c r="C238" s="2" t="str">
        <f>HYPERLINK("https://drive.google.com/file/d/1GC3OorFTxY-d5uD3MjNCbKHxb7iQqQ70/view?usp=sharing", IMAGE("https://api.qrserver.com/v1/create-qr-code/?size=150x150&amp;data=https://drive.google.com/file/d/1GC3OorFTxY-d5uD3MjNCbKHxb7iQqQ70/view?usp=sharing",1))</f>
        <v/>
      </c>
      <c r="D238" s="3" t="s">
        <v>428</v>
      </c>
      <c r="E238" s="2" t="str">
        <f>HYPERLINK("https://drive.google.com/file/d/1GC3OorFTxY-d5uD3MjNCbKHxb7iQqQ70/view?usp=sharing","Hotel Per La Event Marketing.pdf")</f>
        <v>Hotel Per La Event Marketing.pdf</v>
      </c>
    </row>
    <row r="239" ht="112.5" customHeight="1">
      <c r="A239" s="1" t="s">
        <v>406</v>
      </c>
      <c r="B239" s="1" t="s">
        <v>429</v>
      </c>
      <c r="C239" s="2" t="str">
        <f>HYPERLINK("https://drive.google.com/file/d/1oZC9xDaNwxyiqOfwHmpjbuqY-8MOpKlx/view?usp=sharing", IMAGE("https://api.qrserver.com/v1/create-qr-code/?size=150x150&amp;data=https://drive.google.com/file/d/1oZC9xDaNwxyiqOfwHmpjbuqY-8MOpKlx/view?usp=sharing",1))</f>
        <v/>
      </c>
      <c r="D239" s="3" t="s">
        <v>430</v>
      </c>
      <c r="E239" s="2" t="str">
        <f>HYPERLINK("https://drive.google.com/file/d/1oZC9xDaNwxyiqOfwHmpjbuqY-8MOpKlx/view?usp=sharing","High Net Worth Photography Services.pdf")</f>
        <v>High Net Worth Photography Services.pdf</v>
      </c>
    </row>
    <row r="240" ht="112.5" customHeight="1">
      <c r="A240" s="1" t="s">
        <v>406</v>
      </c>
      <c r="B240" s="1" t="s">
        <v>431</v>
      </c>
      <c r="C240" s="2" t="str">
        <f>HYPERLINK("https://drive.google.com/file/d/1isN93tryHMOFyenFdXBs09snzq7RaZY9/view?usp=sharing", IMAGE("https://api.qrserver.com/v1/create-qr-code/?size=150x150&amp;data=https://drive.google.com/file/d/1isN93tryHMOFyenFdXBs09snzq7RaZY9/view?usp=sharing",1))</f>
        <v/>
      </c>
      <c r="D240" s="3" t="s">
        <v>432</v>
      </c>
      <c r="E240" s="2" t="str">
        <f>HYPERLINK("https://drive.google.com/file/d/1isN93tryHMOFyenFdXBs09snzq7RaZY9/view?usp=sharing","Luxury Gala Photography Los Angeles.pdf")</f>
        <v>Luxury Gala Photography Los Angeles.pdf</v>
      </c>
    </row>
    <row r="241" ht="112.5" customHeight="1">
      <c r="A241" s="1" t="s">
        <v>406</v>
      </c>
      <c r="B241" s="1" t="s">
        <v>433</v>
      </c>
      <c r="C241" s="2" t="str">
        <f>HYPERLINK("https://drive.google.com/file/d/1xHf-ejZcGvmkO5Tcd6Yuefnnaghso-I4/view?usp=sharing", IMAGE("https://api.qrserver.com/v1/create-qr-code/?size=150x150&amp;data=https://drive.google.com/file/d/1xHf-ejZcGvmkO5Tcd6Yuefnnaghso-I4/view?usp=sharing",1))</f>
        <v/>
      </c>
      <c r="D241" s="3" t="s">
        <v>434</v>
      </c>
      <c r="E241" s="2" t="str">
        <f>HYPERLINK("https://drive.google.com/file/d/1xHf-ejZcGvmkO5Tcd6Yuefnnaghso-I4/view?usp=sharing","Boutique Event Marketing Agency LA.pdf")</f>
        <v>Boutique Event Marketing Agency LA.pdf</v>
      </c>
    </row>
    <row r="242" ht="112.5" customHeight="1">
      <c r="A242" s="1" t="s">
        <v>406</v>
      </c>
      <c r="B242" s="1" t="s">
        <v>435</v>
      </c>
      <c r="C242" s="2" t="str">
        <f>HYPERLINK("https://drive.google.com/file/d/1i3DXtf5DlraZuNxuZ1CwgM9eVvXvRScc/view?usp=sharing", IMAGE("https://api.qrserver.com/v1/create-qr-code/?size=150x150&amp;data=https://drive.google.com/file/d/1i3DXtf5DlraZuNxuZ1CwgM9eVvXvRScc/view?usp=sharing",1))</f>
        <v/>
      </c>
      <c r="D242" s="3" t="s">
        <v>436</v>
      </c>
      <c r="E242" s="2" t="str">
        <f>HYPERLINK("https://drive.google.com/file/d/1i3DXtf5DlraZuNxuZ1CwgM9eVvXvRScc/view?usp=sharing","Premium Visual Brand Strategy.pdf")</f>
        <v>Premium Visual Brand Strategy.pdf</v>
      </c>
    </row>
    <row r="243" ht="112.5" customHeight="1">
      <c r="A243" s="1" t="s">
        <v>406</v>
      </c>
      <c r="B243" s="1" t="s">
        <v>437</v>
      </c>
      <c r="C243" s="2" t="str">
        <f>HYPERLINK("https://drive.google.com/file/d/10e-b6HXbbJeAKtCAtq0rBO2mHbpHx9gY/view?usp=sharing", IMAGE("https://api.qrserver.com/v1/create-qr-code/?size=150x150&amp;data=https://drive.google.com/file/d/10e-b6HXbbJeAKtCAtq0rBO2mHbpHx9gY/view?usp=sharing",1))</f>
        <v/>
      </c>
      <c r="D243" s="3" t="s">
        <v>438</v>
      </c>
      <c r="E243" s="2" t="str">
        <f>HYPERLINK("https://drive.google.com/file/d/10e-b6HXbbJeAKtCAtq0rBO2mHbpHx9gY/view?usp=sharing","Private Estate Event Photography.pdf")</f>
        <v>Private Estate Event Photography.pdf</v>
      </c>
    </row>
    <row r="244" ht="112.5" customHeight="1">
      <c r="A244" s="1" t="s">
        <v>406</v>
      </c>
      <c r="B244" s="1" t="s">
        <v>439</v>
      </c>
      <c r="C244" s="2" t="str">
        <f>HYPERLINK("https://drive.google.com/file/d/1VrzqF7bqNRzrzPI1aOSiGkmZNcENmE3a/view?usp=sharing", IMAGE("https://api.qrserver.com/v1/create-qr-code/?size=150x150&amp;data=https://drive.google.com/file/d/1VrzqF7bqNRzrzPI1aOSiGkmZNcENmE3a/view?usp=sharing",1))</f>
        <v/>
      </c>
      <c r="D244" s="3" t="s">
        <v>440</v>
      </c>
      <c r="E244" s="2" t="str">
        <f>HYPERLINK("https://drive.google.com/file/d/1VrzqF7bqNRzrzPI1aOSiGkmZNcENmE3a/view?usp=sharing","Elite Corporate Event Marketing.pdf")</f>
        <v>Elite Corporate Event Marketing.pdf</v>
      </c>
    </row>
    <row r="245" ht="112.5" customHeight="1">
      <c r="A245" s="1" t="s">
        <v>406</v>
      </c>
      <c r="B245" s="1" t="s">
        <v>441</v>
      </c>
      <c r="C245" s="2" t="str">
        <f>HYPERLINK("https://drive.google.com/file/d/1azbRtDYJxiHpel-ZDrLXiMNuhn9NgwoL/view?usp=sharing", IMAGE("https://api.qrserver.com/v1/create-qr-code/?size=150x150&amp;data=https://drive.google.com/file/d/1azbRtDYJxiHpel-ZDrLXiMNuhn9NgwoL/view?usp=sharing",1))</f>
        <v/>
      </c>
      <c r="D245" s="3" t="s">
        <v>442</v>
      </c>
      <c r="E245" s="2" t="str">
        <f>HYPERLINK("https://drive.google.com/file/d/1azbRtDYJxiHpel-ZDrLXiMNuhn9NgwoL/view?usp=sharing","Ultra Luxury Brand Activation LA.pdf")</f>
        <v>Ultra Luxury Brand Activation LA.pdf</v>
      </c>
    </row>
    <row r="246" ht="112.5" customHeight="1">
      <c r="A246" s="1" t="s">
        <v>406</v>
      </c>
      <c r="B246" s="1" t="s">
        <v>443</v>
      </c>
      <c r="C246" s="2" t="str">
        <f>HYPERLINK("https://drive.google.com/file/d/1XoZvQEDN8SfkSN0nY3Uwn1SAofb5qzr2/view?usp=sharing", IMAGE("https://api.qrserver.com/v1/create-qr-code/?size=150x150&amp;data=https://drive.google.com/file/d/1XoZvQEDN8SfkSN0nY3Uwn1SAofb5qzr2/view?usp=sharing",1))</f>
        <v/>
      </c>
      <c r="D246" s="3" t="s">
        <v>444</v>
      </c>
      <c r="E246" s="2" t="str">
        <f>HYPERLINK("https://drive.google.com/file/d/1XoZvQEDN8SfkSN0nY3Uwn1SAofb5qzr2/view?usp=sharing","The Maybourne Beverly Hills Marketing.pdf")</f>
        <v>The Maybourne Beverly Hills Marketing.pdf</v>
      </c>
    </row>
    <row r="247" ht="112.5" customHeight="1">
      <c r="A247" s="1" t="s">
        <v>406</v>
      </c>
      <c r="B247" s="1" t="s">
        <v>445</v>
      </c>
      <c r="C247" s="2" t="str">
        <f>HYPERLINK("https://drive.google.com/file/d/1z30UDMqkzyGu0jrvm_KAWHzZgqqlkY-F/view?usp=sharing", IMAGE("https://api.qrserver.com/v1/create-qr-code/?size=150x150&amp;data=https://drive.google.com/file/d/1z30UDMqkzyGu0jrvm_KAWHzZgqqlkY-F/view?usp=sharing",1))</f>
        <v/>
      </c>
      <c r="D247" s="3" t="s">
        <v>446</v>
      </c>
      <c r="E247" s="2" t="str">
        <f>HYPERLINK("https://drive.google.com/file/d/1z30UDMqkzyGu0jrvm_KAWHzZgqqlkY-F/view?usp=sharing","Waldorf Astoria Beverly Hills Photo.pdf")</f>
        <v>Waldorf Astoria Beverly Hills Photo.pdf</v>
      </c>
    </row>
    <row r="248" ht="112.5" customHeight="1">
      <c r="A248" s="1" t="s">
        <v>406</v>
      </c>
      <c r="B248" s="1" t="s">
        <v>447</v>
      </c>
      <c r="C248" s="2" t="str">
        <f>HYPERLINK("https://drive.google.com/file/d/1ZT4YKrgfwR8clUMy0d1xFT6B4plOf67o/view?usp=sharing", IMAGE("https://api.qrserver.com/v1/create-qr-code/?size=150x150&amp;data=https://drive.google.com/file/d/1ZT4YKrgfwR8clUMy0d1xFT6B4plOf67o/view?usp=sharing",1))</f>
        <v/>
      </c>
      <c r="D248" s="3" t="s">
        <v>448</v>
      </c>
      <c r="E248" s="2" t="str">
        <f>HYPERLINK("https://drive.google.com/file/d/1ZT4YKrgfwR8clUMy0d1xFT6B4plOf67o/view?usp=sharing","The Beverly Hills Hotel Event Marketing.pdf")</f>
        <v>The Beverly Hills Hotel Event Marketing.pdf</v>
      </c>
    </row>
    <row r="249" ht="112.5" customHeight="1">
      <c r="A249" s="1" t="s">
        <v>406</v>
      </c>
      <c r="B249" s="1" t="s">
        <v>449</v>
      </c>
      <c r="C249" s="2" t="str">
        <f>HYPERLINK("https://drive.google.com/file/d/1W66mzcD6j4rFGhy6zxXXqcs4Oztw3s4k/view?usp=sharing", IMAGE("https://api.qrserver.com/v1/create-qr-code/?size=150x150&amp;data=https://drive.google.com/file/d/1W66mzcD6j4rFGhy6zxXXqcs4Oztw3s4k/view?usp=sharing",1))</f>
        <v/>
      </c>
      <c r="D249" s="3" t="s">
        <v>450</v>
      </c>
      <c r="E249" s="2" t="str">
        <f>HYPERLINK("https://drive.google.com/file/d/1W66mzcD6j4rFGhy6zxXXqcs4Oztw3s4k/view?usp=sharing","The Beverly Hills Hotel Event Marketing-The Beverly Hills Hotel Event Marketing.pdf")</f>
        <v>The Beverly Hills Hotel Event Marketing-The Beverly Hills Hotel Event Marketing.pdf</v>
      </c>
    </row>
    <row r="250" ht="112.5" customHeight="1">
      <c r="A250" s="1" t="s">
        <v>406</v>
      </c>
      <c r="B250" s="1" t="s">
        <v>451</v>
      </c>
      <c r="C250" s="2" t="str">
        <f>HYPERLINK("https://drive.google.com/file/d/1wdHX5ip_HOzv-vFRiTwLALBIYsNomKXM/view?usp=sharing", IMAGE("https://api.qrserver.com/v1/create-qr-code/?size=150x150&amp;data=https://drive.google.com/file/d/1wdHX5ip_HOzv-vFRiTwLALBIYsNomKXM/view?usp=sharing",1))</f>
        <v/>
      </c>
      <c r="D250" s="3" t="s">
        <v>452</v>
      </c>
      <c r="E250" s="2" t="str">
        <f>HYPERLINK("https://drive.google.com/file/d/1wdHX5ip_HOzv-vFRiTwLALBIYsNomKXM/view?usp=sharing","The Beverly Hills Hotel Event Marketing-Keywords.pdf")</f>
        <v>The Beverly Hills Hotel Event Marketing-Keywords.pdf</v>
      </c>
    </row>
    <row r="251" ht="112.5" customHeight="1">
      <c r="A251" s="1" t="s">
        <v>406</v>
      </c>
      <c r="B251" s="1" t="s">
        <v>453</v>
      </c>
      <c r="C251" s="2" t="str">
        <f>HYPERLINK("https://drive.google.com/file/d/1QN9NjP5ra9ZY58pw_Z3Udl-n9xp2tv8_/view?usp=sharing", IMAGE("https://api.qrserver.com/v1/create-qr-code/?size=150x150&amp;data=https://drive.google.com/file/d/1QN9NjP5ra9ZY58pw_Z3Udl-n9xp2tv8_/view?usp=sharing",1))</f>
        <v/>
      </c>
      <c r="D251" s="3" t="s">
        <v>454</v>
      </c>
      <c r="E251" s="2" t="str">
        <f>HYPERLINK("https://drive.google.com/file/d/1QN9NjP5ra9ZY58pw_Z3Udl-n9xp2tv8_/view?usp=sharing","The Beverly Hills Hotel Event Marketing-Content.pdf")</f>
        <v>The Beverly Hills Hotel Event Marketing-Content.pdf</v>
      </c>
    </row>
    <row r="252" ht="112.5" customHeight="1">
      <c r="A252" s="1" t="s">
        <v>406</v>
      </c>
      <c r="B252" s="1" t="s">
        <v>455</v>
      </c>
      <c r="C252" s="2" t="str">
        <f>HYPERLINK("https://drive.google.com/file/d/1fgNb7RVZGTgggN72Z-VOSz4VmR2LOVm_/view?usp=sharing", IMAGE("https://api.qrserver.com/v1/create-qr-code/?size=150x150&amp;data=https://drive.google.com/file/d/1fgNb7RVZGTgggN72Z-VOSz4VmR2LOVm_/view?usp=sharing",1))</f>
        <v/>
      </c>
      <c r="D252" s="3" t="s">
        <v>456</v>
      </c>
      <c r="E252" s="2" t="str">
        <f>HYPERLINK("https://drive.google.com/file/d/1fgNb7RVZGTgggN72Z-VOSz4VmR2LOVm_/view?usp=sharing","The Beverly Hills Hotel Event Marketing-Calendar Events.pdf")</f>
        <v>The Beverly Hills Hotel Event Marketing-Calendar Events.pdf</v>
      </c>
    </row>
    <row r="253" ht="112.5" customHeight="1">
      <c r="A253" s="1" t="s">
        <v>406</v>
      </c>
      <c r="B253" s="1" t="s">
        <v>457</v>
      </c>
      <c r="C253" s="2" t="str">
        <f>HYPERLINK("https://drive.google.com/file/d/1BCeChWlfdk__QO2zc5tyuA1PvETOTnsU/view?usp=sharing", IMAGE("https://api.qrserver.com/v1/create-qr-code/?size=150x150&amp;data=https://drive.google.com/file/d/1BCeChWlfdk__QO2zc5tyuA1PvETOTnsU/view?usp=sharing",1))</f>
        <v/>
      </c>
      <c r="D253" s="3" t="s">
        <v>458</v>
      </c>
      <c r="E253" s="2" t="str">
        <f>HYPERLINK("https://drive.google.com/file/d/1BCeChWlfdk__QO2zc5tyuA1PvETOTnsU/view?usp=sharing","The Beverly Hills Hotel Event Marketing-RSS Feeds.pdf")</f>
        <v>The Beverly Hills Hotel Event Marketing-RSS Feeds.pdf</v>
      </c>
    </row>
    <row r="254" ht="112.5" customHeight="1">
      <c r="A254" s="1" t="s">
        <v>406</v>
      </c>
      <c r="B254" s="1" t="s">
        <v>459</v>
      </c>
      <c r="C254" s="2" t="str">
        <f>HYPERLINK("https://drive.google.com/file/d/1PFviw7AnijQpjWeoA5r96-esd_xMJYSP/view?usp=sharing", IMAGE("https://api.qrserver.com/v1/create-qr-code/?size=150x150&amp;data=https://drive.google.com/file/d/1PFviw7AnijQpjWeoA5r96-esd_xMJYSP/view?usp=sharing",1))</f>
        <v/>
      </c>
      <c r="D254" s="3" t="s">
        <v>460</v>
      </c>
      <c r="E254" s="2" t="str">
        <f>HYPERLINK("https://drive.google.com/file/d/1PFviw7AnijQpjWeoA5r96-esd_xMJYSP/view?usp=sharing","The Beverly Hills Hotel Event Marketing-Iframe Embeds.pdf")</f>
        <v>The Beverly Hills Hotel Event Marketing-Iframe Embeds.pdf</v>
      </c>
    </row>
    <row r="255" ht="112.5" customHeight="1">
      <c r="A255" s="1" t="s">
        <v>461</v>
      </c>
      <c r="B255" s="1" t="s">
        <v>462</v>
      </c>
      <c r="C255" s="2" t="str">
        <f>HYPERLINK("https://docs.google.com/document/d/1OUxVghVBdUmA6HuvFTrlpkBGkMJaR3iW/edit?usp=sharing&amp;ouid=115602453726005426174&amp;rtpof=true&amp;sd=true", IMAGE("https://api.qrserver.com/v1/create-qr-code/?size=150x150&amp;data=https://docs.google.com/document/d/1OUxVghVBdUmA6HuvFTrlpkBGkMJaR3iW/edit?usp=sharing&amp;ouid=115602453726005426174&amp;rtpof=true&amp;sd=true",1))</f>
        <v/>
      </c>
      <c r="D255" s="3" t="s">
        <v>463</v>
      </c>
      <c r="E255" s="2" t="str">
        <f>HYPERLINK("https://docs.google.com/document/d/1OUxVghVBdUmA6HuvFTrlpkBGkMJaR3iW/edit?usp=sharing&amp;ouid=115602453726005426174&amp;rtpof=true&amp;sd=true","Chateau Marmont Event Photography.docx")</f>
        <v>Chateau Marmont Event Photography.docx</v>
      </c>
    </row>
    <row r="256" ht="112.5" customHeight="1">
      <c r="A256" s="1" t="s">
        <v>461</v>
      </c>
      <c r="B256" s="1" t="s">
        <v>464</v>
      </c>
      <c r="C256" s="2" t="str">
        <f>HYPERLINK("https://docs.google.com/document/d/12FkSPPVUQEEbjl_ILz9qtdrklsI3Va1J/edit?usp=sharing&amp;ouid=115602453726005426174&amp;rtpof=true&amp;sd=true", IMAGE("https://api.qrserver.com/v1/create-qr-code/?size=150x150&amp;data=https://docs.google.com/document/d/12FkSPPVUQEEbjl_ILz9qtdrklsI3Va1J/edit?usp=sharing&amp;ouid=115602453726005426174&amp;rtpof=true&amp;sd=true",1))</f>
        <v/>
      </c>
      <c r="D256" s="3" t="s">
        <v>465</v>
      </c>
      <c r="E256" s="2" t="str">
        <f>HYPERLINK("https://docs.google.com/document/d/12FkSPPVUQEEbjl_ILz9qtdrklsI3Va1J/edit?usp=sharing&amp;ouid=115602453726005426174&amp;rtpof=true&amp;sd=true","Soho House West Hollywood Marketing.docx")</f>
        <v>Soho House West Hollywood Marketing.docx</v>
      </c>
    </row>
    <row r="257" ht="112.5" customHeight="1">
      <c r="A257" s="1" t="s">
        <v>461</v>
      </c>
      <c r="B257" s="1" t="s">
        <v>466</v>
      </c>
      <c r="C257" s="2" t="str">
        <f>HYPERLINK("https://docs.google.com/document/d/1Hd4LggSqsyASpQfWj2TTes_ZgM6kKXLx/edit?usp=sharing&amp;ouid=115602453726005426174&amp;rtpof=true&amp;sd=true", IMAGE("https://api.qrserver.com/v1/create-qr-code/?size=150x150&amp;data=https://docs.google.com/document/d/1Hd4LggSqsyASpQfWj2TTes_ZgM6kKXLx/edit?usp=sharing&amp;ouid=115602453726005426174&amp;rtpof=true&amp;sd=true",1))</f>
        <v/>
      </c>
      <c r="D257" s="3" t="s">
        <v>467</v>
      </c>
      <c r="E257" s="2" t="str">
        <f>HYPERLINK("https://docs.google.com/document/d/1Hd4LggSqsyASpQfWj2TTes_ZgM6kKXLx/edit?usp=sharing&amp;ouid=115602453726005426174&amp;rtpof=true&amp;sd=true","Greystone Mansion Photo Marketing.docx")</f>
        <v>Greystone Mansion Photo Marketing.docx</v>
      </c>
    </row>
    <row r="258" ht="112.5" customHeight="1">
      <c r="A258" s="1" t="s">
        <v>461</v>
      </c>
      <c r="B258" s="1" t="s">
        <v>468</v>
      </c>
      <c r="C258" s="2" t="str">
        <f>HYPERLINK("https://docs.google.com/document/d/12WhYDpZg7lzwKyrNDTs2dyY0DV_nxrEL/edit?usp=sharing&amp;ouid=115602453726005426174&amp;rtpof=true&amp;sd=true", IMAGE("https://api.qrserver.com/v1/create-qr-code/?size=150x150&amp;data=https://docs.google.com/document/d/12WhYDpZg7lzwKyrNDTs2dyY0DV_nxrEL/edit?usp=sharing&amp;ouid=115602453726005426174&amp;rtpof=true&amp;sd=true",1))</f>
        <v/>
      </c>
      <c r="D258" s="3" t="s">
        <v>469</v>
      </c>
      <c r="E258" s="2" t="str">
        <f>HYPERLINK("https://docs.google.com/document/d/12WhYDpZg7lzwKyrNDTs2dyY0DV_nxrEL/edit?usp=sharing&amp;ouid=115602453726005426174&amp;rtpof=true&amp;sd=true","The London West Hollywood Photography.docx")</f>
        <v>The London West Hollywood Photography.docx</v>
      </c>
    </row>
    <row r="259" ht="112.5" customHeight="1">
      <c r="A259" s="1" t="s">
        <v>461</v>
      </c>
      <c r="B259" s="1" t="s">
        <v>470</v>
      </c>
      <c r="C259" s="2" t="str">
        <f>HYPERLINK("https://docs.google.com/document/d/1WnuzxzISOCh2OhMPycnUrEplbF7zrl85/edit?usp=sharing&amp;ouid=115602453726005426174&amp;rtpof=true&amp;sd=true", IMAGE("https://api.qrserver.com/v1/create-qr-code/?size=150x150&amp;data=https://docs.google.com/document/d/1WnuzxzISOCh2OhMPycnUrEplbF7zrl85/edit?usp=sharing&amp;ouid=115602453726005426174&amp;rtpof=true&amp;sd=true",1))</f>
        <v/>
      </c>
      <c r="D259" s="3" t="s">
        <v>471</v>
      </c>
      <c r="E259" s="2" t="str">
        <f>HYPERLINK("https://docs.google.com/document/d/1WnuzxzISOCh2OhMPycnUrEplbF7zrl85/edit?usp=sharing&amp;ouid=115602453726005426174&amp;rtpof=true&amp;sd=true","Hammer Museum Event Photography.docx")</f>
        <v>Hammer Museum Event Photography.docx</v>
      </c>
    </row>
    <row r="260" ht="112.5" customHeight="1">
      <c r="A260" s="1" t="s">
        <v>461</v>
      </c>
      <c r="B260" s="1" t="s">
        <v>472</v>
      </c>
      <c r="C260" s="2" t="str">
        <f>HYPERLINK("https://docs.google.com/document/d/1wg0ZK6AjOaA61NmyRAc-bEIvDSqNsfUr/edit?usp=sharing&amp;ouid=115602453726005426174&amp;rtpof=true&amp;sd=true", IMAGE("https://api.qrserver.com/v1/create-qr-code/?size=150x150&amp;data=https://docs.google.com/document/d/1wg0ZK6AjOaA61NmyRAc-bEIvDSqNsfUr/edit?usp=sharing&amp;ouid=115602453726005426174&amp;rtpof=true&amp;sd=true",1))</f>
        <v/>
      </c>
      <c r="D260" s="3" t="s">
        <v>473</v>
      </c>
      <c r="E260" s="2" t="str">
        <f>HYPERLINK("https://docs.google.com/document/d/1wg0ZK6AjOaA61NmyRAc-bEIvDSqNsfUr/edit?usp=sharing&amp;ouid=115602453726005426174&amp;rtpof=true&amp;sd=true","Skirball Cultural Center Marketing.docx")</f>
        <v>Skirball Cultural Center Marketing.docx</v>
      </c>
    </row>
    <row r="261" ht="112.5" customHeight="1">
      <c r="A261" s="1" t="s">
        <v>461</v>
      </c>
      <c r="B261" s="1" t="s">
        <v>474</v>
      </c>
      <c r="C261" s="2" t="str">
        <f>HYPERLINK("https://docs.google.com/document/d/1fxTphJIx3zaXerEEfqU2Z6VJC8qTPALv/edit?usp=sharing&amp;ouid=115602453726005426174&amp;rtpof=true&amp;sd=true", IMAGE("https://api.qrserver.com/v1/create-qr-code/?size=150x150&amp;data=https://docs.google.com/document/d/1fxTphJIx3zaXerEEfqU2Z6VJC8qTPALv/edit?usp=sharing&amp;ouid=115602453726005426174&amp;rtpof=true&amp;sd=true",1))</f>
        <v/>
      </c>
      <c r="D261" s="3" t="s">
        <v>475</v>
      </c>
      <c r="E261" s="2" t="str">
        <f>HYPERLINK("https://docs.google.com/document/d/1fxTphJIx3zaXerEEfqU2Z6VJC8qTPALv/edit?usp=sharing&amp;ouid=115602453726005426174&amp;rtpof=true&amp;sd=true","Vibiana Los Angeles Photo Marketing.docx")</f>
        <v>Vibiana Los Angeles Photo Marketing.docx</v>
      </c>
    </row>
    <row r="262" ht="112.5" customHeight="1">
      <c r="A262" s="1" t="s">
        <v>461</v>
      </c>
      <c r="B262" s="1" t="s">
        <v>476</v>
      </c>
      <c r="C262" s="2" t="str">
        <f>HYPERLINK("https://docs.google.com/document/d/1r2cqQQDLynBti6u5uMBKg7M_-mKhPMt4/edit?usp=sharing&amp;ouid=115602453726005426174&amp;rtpof=true&amp;sd=true", IMAGE("https://api.qrserver.com/v1/create-qr-code/?size=150x150&amp;data=https://docs.google.com/document/d/1r2cqQQDLynBti6u5uMBKg7M_-mKhPMt4/edit?usp=sharing&amp;ouid=115602453726005426174&amp;rtpof=true&amp;sd=true",1))</f>
        <v/>
      </c>
      <c r="D262" s="3" t="s">
        <v>477</v>
      </c>
      <c r="E262" s="2" t="str">
        <f>HYPERLINK("https://docs.google.com/document/d/1r2cqQQDLynBti6u5uMBKg7M_-mKhPMt4/edit?usp=sharing&amp;ouid=115602453726005426174&amp;rtpof=true&amp;sd=true","The Revery LA Event Photography.docx")</f>
        <v>The Revery LA Event Photography.docx</v>
      </c>
    </row>
    <row r="263" ht="112.5" customHeight="1">
      <c r="A263" s="1" t="s">
        <v>461</v>
      </c>
      <c r="B263" s="1" t="s">
        <v>478</v>
      </c>
      <c r="C263" s="2" t="str">
        <f>HYPERLINK("https://docs.google.com/document/d/16te6xr0ZAATtsvgH3WU8KeKuFzM3tBCV/edit?usp=sharing&amp;ouid=115602453726005426174&amp;rtpof=true&amp;sd=true", IMAGE("https://api.qrserver.com/v1/create-qr-code/?size=150x150&amp;data=https://docs.google.com/document/d/16te6xr0ZAATtsvgH3WU8KeKuFzM3tBCV/edit?usp=sharing&amp;ouid=115602453726005426174&amp;rtpof=true&amp;sd=true",1))</f>
        <v/>
      </c>
      <c r="D263" s="3" t="s">
        <v>479</v>
      </c>
      <c r="E263" s="2" t="str">
        <f>HYPERLINK("https://docs.google.com/document/d/16te6xr0ZAATtsvgH3WU8KeKuFzM3tBCV/edit?usp=sharing&amp;ouid=115602453726005426174&amp;rtpof=true&amp;sd=true","Pelican Hill Luxury Brand Photo.docx")</f>
        <v>Pelican Hill Luxury Brand Photo.docx</v>
      </c>
    </row>
    <row r="264" ht="112.5" customHeight="1">
      <c r="A264" s="1" t="s">
        <v>461</v>
      </c>
      <c r="B264" s="1" t="s">
        <v>480</v>
      </c>
      <c r="C264" s="2" t="str">
        <f>HYPERLINK("https://docs.google.com/document/d/1iXYbXvre8jaoWJqJ5cZRRRZQvVwRPsFL/edit?usp=sharing&amp;ouid=115602453726005426174&amp;rtpof=true&amp;sd=true", IMAGE("https://api.qrserver.com/v1/create-qr-code/?size=150x150&amp;data=https://docs.google.com/document/d/1iXYbXvre8jaoWJqJ5cZRRRZQvVwRPsFL/edit?usp=sharing&amp;ouid=115602453726005426174&amp;rtpof=true&amp;sd=true",1))</f>
        <v/>
      </c>
      <c r="D264" s="3" t="s">
        <v>481</v>
      </c>
      <c r="E264" s="2" t="str">
        <f>HYPERLINK("https://docs.google.com/document/d/1iXYbXvre8jaoWJqJ5cZRRRZQvVwRPsFL/edit?usp=sharing&amp;ouid=115602453726005426174&amp;rtpof=true&amp;sd=true","Lombardi House Marketing Photography.docx")</f>
        <v>Lombardi House Marketing Photography.docx</v>
      </c>
    </row>
    <row r="265" ht="112.5" customHeight="1">
      <c r="A265" s="1" t="s">
        <v>461</v>
      </c>
      <c r="B265" s="1" t="s">
        <v>482</v>
      </c>
      <c r="C265" s="2" t="str">
        <f>HYPERLINK("https://docs.google.com/document/d/1PHj4ApC5Vjs7dFvIhvC9FWUrxtyAbyc1/edit?usp=sharing&amp;ouid=115602453726005426174&amp;rtpof=true&amp;sd=true", IMAGE("https://api.qrserver.com/v1/create-qr-code/?size=150x150&amp;data=https://docs.google.com/document/d/1PHj4ApC5Vjs7dFvIhvC9FWUrxtyAbyc1/edit?usp=sharing&amp;ouid=115602453726005426174&amp;rtpof=true&amp;sd=true",1))</f>
        <v/>
      </c>
      <c r="D265" s="3" t="s">
        <v>483</v>
      </c>
      <c r="E265" s="2" t="str">
        <f>HYPERLINK("https://docs.google.com/document/d/1PHj4ApC5Vjs7dFvIhvC9FWUrxtyAbyc1/edit?usp=sharing&amp;ouid=115602453726005426174&amp;rtpof=true&amp;sd=true","Hotel Per La Event Marketing.docx")</f>
        <v>Hotel Per La Event Marketing.docx</v>
      </c>
    </row>
    <row r="266" ht="112.5" customHeight="1">
      <c r="A266" s="1" t="s">
        <v>461</v>
      </c>
      <c r="B266" s="1" t="s">
        <v>484</v>
      </c>
      <c r="C266" s="2" t="str">
        <f>HYPERLINK("https://docs.google.com/document/d/1OmkhxiYOQJLv4XKr4R-4M6TVipNJz7lK/edit?usp=sharing&amp;ouid=115602453726005426174&amp;rtpof=true&amp;sd=true", IMAGE("https://api.qrserver.com/v1/create-qr-code/?size=150x150&amp;data=https://docs.google.com/document/d/1OmkhxiYOQJLv4XKr4R-4M6TVipNJz7lK/edit?usp=sharing&amp;ouid=115602453726005426174&amp;rtpof=true&amp;sd=true",1))</f>
        <v/>
      </c>
      <c r="D266" s="3" t="s">
        <v>485</v>
      </c>
      <c r="E266" s="2" t="str">
        <f>HYPERLINK("https://docs.google.com/document/d/1OmkhxiYOQJLv4XKr4R-4M6TVipNJz7lK/edit?usp=sharing&amp;ouid=115602453726005426174&amp;rtpof=true&amp;sd=true","High Net Worth Photography Services.docx")</f>
        <v>High Net Worth Photography Services.docx</v>
      </c>
    </row>
    <row r="267" ht="112.5" customHeight="1">
      <c r="A267" s="1" t="s">
        <v>461</v>
      </c>
      <c r="B267" s="1" t="s">
        <v>486</v>
      </c>
      <c r="C267" s="2" t="str">
        <f>HYPERLINK("https://docs.google.com/document/d/1kjPbVrKPtt-FlxUofcpI-UgGz77QVN0J/edit?usp=sharing&amp;ouid=115602453726005426174&amp;rtpof=true&amp;sd=true", IMAGE("https://api.qrserver.com/v1/create-qr-code/?size=150x150&amp;data=https://docs.google.com/document/d/1kjPbVrKPtt-FlxUofcpI-UgGz77QVN0J/edit?usp=sharing&amp;ouid=115602453726005426174&amp;rtpof=true&amp;sd=true",1))</f>
        <v/>
      </c>
      <c r="D267" s="3" t="s">
        <v>487</v>
      </c>
      <c r="E267" s="2" t="str">
        <f>HYPERLINK("https://docs.google.com/document/d/1kjPbVrKPtt-FlxUofcpI-UgGz77QVN0J/edit?usp=sharing&amp;ouid=115602453726005426174&amp;rtpof=true&amp;sd=true","Luxury Gala Photography Los Angeles.docx")</f>
        <v>Luxury Gala Photography Los Angeles.docx</v>
      </c>
    </row>
    <row r="268" ht="112.5" customHeight="1">
      <c r="A268" s="1" t="s">
        <v>461</v>
      </c>
      <c r="B268" s="1" t="s">
        <v>488</v>
      </c>
      <c r="C268" s="2" t="str">
        <f>HYPERLINK("https://docs.google.com/document/d/1CSBx9L8IdFhenCRSVXqHA-ImYbt6e21m/edit?usp=sharing&amp;ouid=115602453726005426174&amp;rtpof=true&amp;sd=true", IMAGE("https://api.qrserver.com/v1/create-qr-code/?size=150x150&amp;data=https://docs.google.com/document/d/1CSBx9L8IdFhenCRSVXqHA-ImYbt6e21m/edit?usp=sharing&amp;ouid=115602453726005426174&amp;rtpof=true&amp;sd=true",1))</f>
        <v/>
      </c>
      <c r="D268" s="3" t="s">
        <v>489</v>
      </c>
      <c r="E268" s="2" t="str">
        <f>HYPERLINK("https://docs.google.com/document/d/1CSBx9L8IdFhenCRSVXqHA-ImYbt6e21m/edit?usp=sharing&amp;ouid=115602453726005426174&amp;rtpof=true&amp;sd=true","Boutique Event Marketing Agency LA.docx")</f>
        <v>Boutique Event Marketing Agency LA.docx</v>
      </c>
    </row>
    <row r="269" ht="112.5" customHeight="1">
      <c r="A269" s="1" t="s">
        <v>461</v>
      </c>
      <c r="B269" s="1" t="s">
        <v>490</v>
      </c>
      <c r="C269" s="2" t="str">
        <f>HYPERLINK("https://docs.google.com/document/d/1_62b0BrnEOFcTp71TPdu0U47UziH0VS0/edit?usp=sharing&amp;ouid=115602453726005426174&amp;rtpof=true&amp;sd=true", IMAGE("https://api.qrserver.com/v1/create-qr-code/?size=150x150&amp;data=https://docs.google.com/document/d/1_62b0BrnEOFcTp71TPdu0U47UziH0VS0/edit?usp=sharing&amp;ouid=115602453726005426174&amp;rtpof=true&amp;sd=true",1))</f>
        <v/>
      </c>
      <c r="D269" s="3" t="s">
        <v>491</v>
      </c>
      <c r="E269" s="2" t="str">
        <f>HYPERLINK("https://docs.google.com/document/d/1_62b0BrnEOFcTp71TPdu0U47UziH0VS0/edit?usp=sharing&amp;ouid=115602453726005426174&amp;rtpof=true&amp;sd=true","Premium Visual Brand Strategy.docx")</f>
        <v>Premium Visual Brand Strategy.docx</v>
      </c>
    </row>
    <row r="270" ht="112.5" customHeight="1">
      <c r="A270" s="1" t="s">
        <v>461</v>
      </c>
      <c r="B270" s="1" t="s">
        <v>492</v>
      </c>
      <c r="C270" s="2" t="str">
        <f>HYPERLINK("https://docs.google.com/document/d/19zkj5H2Y0UeX5Wwx2ug7x6CF1W1U5HgZ/edit?usp=sharing&amp;ouid=115602453726005426174&amp;rtpof=true&amp;sd=true", IMAGE("https://api.qrserver.com/v1/create-qr-code/?size=150x150&amp;data=https://docs.google.com/document/d/19zkj5H2Y0UeX5Wwx2ug7x6CF1W1U5HgZ/edit?usp=sharing&amp;ouid=115602453726005426174&amp;rtpof=true&amp;sd=true",1))</f>
        <v/>
      </c>
      <c r="D270" s="3" t="s">
        <v>493</v>
      </c>
      <c r="E270" s="2" t="str">
        <f>HYPERLINK("https://docs.google.com/document/d/19zkj5H2Y0UeX5Wwx2ug7x6CF1W1U5HgZ/edit?usp=sharing&amp;ouid=115602453726005426174&amp;rtpof=true&amp;sd=true","Private Estate Event Photography.docx")</f>
        <v>Private Estate Event Photography.docx</v>
      </c>
    </row>
    <row r="271" ht="112.5" customHeight="1">
      <c r="A271" s="1" t="s">
        <v>461</v>
      </c>
      <c r="B271" s="1" t="s">
        <v>494</v>
      </c>
      <c r="C271" s="2" t="str">
        <f>HYPERLINK("https://docs.google.com/document/d/1F5RR4DrnZkNS_uP35pyjOypeE2XjFjrv/edit?usp=sharing&amp;ouid=115602453726005426174&amp;rtpof=true&amp;sd=true", IMAGE("https://api.qrserver.com/v1/create-qr-code/?size=150x150&amp;data=https://docs.google.com/document/d/1F5RR4DrnZkNS_uP35pyjOypeE2XjFjrv/edit?usp=sharing&amp;ouid=115602453726005426174&amp;rtpof=true&amp;sd=true",1))</f>
        <v/>
      </c>
      <c r="D271" s="3" t="s">
        <v>495</v>
      </c>
      <c r="E271" s="2" t="str">
        <f>HYPERLINK("https://docs.google.com/document/d/1F5RR4DrnZkNS_uP35pyjOypeE2XjFjrv/edit?usp=sharing&amp;ouid=115602453726005426174&amp;rtpof=true&amp;sd=true","Elite Corporate Event Marketing.docx")</f>
        <v>Elite Corporate Event Marketing.docx</v>
      </c>
    </row>
    <row r="272" ht="112.5" customHeight="1">
      <c r="A272" s="1" t="s">
        <v>461</v>
      </c>
      <c r="B272" s="1" t="s">
        <v>496</v>
      </c>
      <c r="C272" s="2" t="str">
        <f>HYPERLINK("https://docs.google.com/document/d/1mwqJhn8cqXem_7f5eQ11d2ZoIQV913iO/edit?usp=sharing&amp;ouid=115602453726005426174&amp;rtpof=true&amp;sd=true", IMAGE("https://api.qrserver.com/v1/create-qr-code/?size=150x150&amp;data=https://docs.google.com/document/d/1mwqJhn8cqXem_7f5eQ11d2ZoIQV913iO/edit?usp=sharing&amp;ouid=115602453726005426174&amp;rtpof=true&amp;sd=true",1))</f>
        <v/>
      </c>
      <c r="D272" s="3" t="s">
        <v>497</v>
      </c>
      <c r="E272" s="2" t="str">
        <f>HYPERLINK("https://docs.google.com/document/d/1mwqJhn8cqXem_7f5eQ11d2ZoIQV913iO/edit?usp=sharing&amp;ouid=115602453726005426174&amp;rtpof=true&amp;sd=true","Ultra Luxury Brand Activation LA.docx")</f>
        <v>Ultra Luxury Brand Activation LA.docx</v>
      </c>
    </row>
    <row r="273" ht="112.5" customHeight="1">
      <c r="A273" s="1" t="s">
        <v>461</v>
      </c>
      <c r="B273" s="1" t="s">
        <v>498</v>
      </c>
      <c r="C273" s="2" t="str">
        <f>HYPERLINK("https://docs.google.com/document/d/13KxAhmzBchx184FU5v3VRovdzEdsl4_f/edit?usp=sharing&amp;ouid=115602453726005426174&amp;rtpof=true&amp;sd=true", IMAGE("https://api.qrserver.com/v1/create-qr-code/?size=150x150&amp;data=https://docs.google.com/document/d/13KxAhmzBchx184FU5v3VRovdzEdsl4_f/edit?usp=sharing&amp;ouid=115602453726005426174&amp;rtpof=true&amp;sd=true",1))</f>
        <v/>
      </c>
      <c r="D273" s="3" t="s">
        <v>499</v>
      </c>
      <c r="E273" s="2" t="str">
        <f>HYPERLINK("https://docs.google.com/document/d/13KxAhmzBchx184FU5v3VRovdzEdsl4_f/edit?usp=sharing&amp;ouid=115602453726005426174&amp;rtpof=true&amp;sd=true","The Maybourne Beverly Hills Marketing.docx")</f>
        <v>The Maybourne Beverly Hills Marketing.docx</v>
      </c>
    </row>
    <row r="274" ht="112.5" customHeight="1">
      <c r="A274" s="1" t="s">
        <v>461</v>
      </c>
      <c r="B274" s="1" t="s">
        <v>500</v>
      </c>
      <c r="C274" s="2" t="str">
        <f>HYPERLINK("https://docs.google.com/document/d/1mGcax8NpmEOQQ4RqcE5hWpUhMVZFv-e-/edit?usp=sharing&amp;ouid=115602453726005426174&amp;rtpof=true&amp;sd=true", IMAGE("https://api.qrserver.com/v1/create-qr-code/?size=150x150&amp;data=https://docs.google.com/document/d/1mGcax8NpmEOQQ4RqcE5hWpUhMVZFv-e-/edit?usp=sharing&amp;ouid=115602453726005426174&amp;rtpof=true&amp;sd=true",1))</f>
        <v/>
      </c>
      <c r="D274" s="3" t="s">
        <v>501</v>
      </c>
      <c r="E274" s="2" t="str">
        <f>HYPERLINK("https://docs.google.com/document/d/1mGcax8NpmEOQQ4RqcE5hWpUhMVZFv-e-/edit?usp=sharing&amp;ouid=115602453726005426174&amp;rtpof=true&amp;sd=true","Waldorf Astoria Beverly Hills Photo.docx")</f>
        <v>Waldorf Astoria Beverly Hills Photo.docx</v>
      </c>
    </row>
    <row r="275" ht="112.5" customHeight="1">
      <c r="A275" s="1" t="s">
        <v>461</v>
      </c>
      <c r="B275" s="1" t="s">
        <v>502</v>
      </c>
      <c r="C275" s="2" t="str">
        <f>HYPERLINK("https://docs.google.com/document/d/1tXlnzSzCILkgfudvHFyL2jz9A32FPQLX/edit?usp=sharing&amp;ouid=115602453726005426174&amp;rtpof=true&amp;sd=true", IMAGE("https://api.qrserver.com/v1/create-qr-code/?size=150x150&amp;data=https://docs.google.com/document/d/1tXlnzSzCILkgfudvHFyL2jz9A32FPQLX/edit?usp=sharing&amp;ouid=115602453726005426174&amp;rtpof=true&amp;sd=true",1))</f>
        <v/>
      </c>
      <c r="D275" s="3" t="s">
        <v>503</v>
      </c>
      <c r="E275" s="2" t="str">
        <f>HYPERLINK("https://docs.google.com/document/d/1tXlnzSzCILkgfudvHFyL2jz9A32FPQLX/edit?usp=sharing&amp;ouid=115602453726005426174&amp;rtpof=true&amp;sd=true","The Beverly Hills Hotel Event Marketing.docx")</f>
        <v>The Beverly Hills Hotel Event Marketing.docx</v>
      </c>
    </row>
    <row r="276" ht="112.5" customHeight="1">
      <c r="A276" s="1" t="s">
        <v>504</v>
      </c>
      <c r="B276" s="1" t="s">
        <v>505</v>
      </c>
      <c r="C276" s="2" t="str">
        <f>HYPERLINK("https://drive.google.com/file/d/10K44FNT2E6mqLjLBsmQFcZpXUQavny60/view?usp=sharing", IMAGE("https://api.qrserver.com/v1/create-qr-code/?size=150x150&amp;data=https://drive.google.com/file/d/10K44FNT2E6mqLjLBsmQFcZpXUQavny60/view?usp=sharing",1))</f>
        <v/>
      </c>
      <c r="D276" s="3" t="s">
        <v>506</v>
      </c>
      <c r="E276" s="2" t="str">
        <f>HYPERLINK("https://drive.google.com/file/d/10K44FNT2E6mqLjLBsmQFcZpXUQavny60/view?usp=sharing","Chateau Marmont Event Photography.odt")</f>
        <v>Chateau Marmont Event Photography.odt</v>
      </c>
    </row>
    <row r="277" ht="112.5" customHeight="1">
      <c r="A277" s="1" t="s">
        <v>507</v>
      </c>
      <c r="B277" s="1" t="s">
        <v>508</v>
      </c>
      <c r="C277" s="2" t="str">
        <f>HYPERLINK("https://drive.google.com/file/d/1ObzkkpA2x_4rK3QOBHI_yZK2AtnZtVIa/view?usp=sharing", IMAGE("https://api.qrserver.com/v1/create-qr-code/?size=150x150&amp;data=https://drive.google.com/file/d/1ObzkkpA2x_4rK3QOBHI_yZK2AtnZtVIa/view?usp=sharing",1))</f>
        <v/>
      </c>
      <c r="D277" s="3" t="s">
        <v>509</v>
      </c>
      <c r="E277" s="2" t="str">
        <f>HYPERLINK("https://drive.google.com/file/d/1ObzkkpA2x_4rK3QOBHI_yZK2AtnZtVIa/view?usp=sharing","Chateau Marmont Event Photography.zip")</f>
        <v>Chateau Marmont Event Photography.zip</v>
      </c>
    </row>
    <row r="278" ht="112.5" customHeight="1">
      <c r="A278" s="1" t="s">
        <v>510</v>
      </c>
      <c r="B278" s="1" t="s">
        <v>511</v>
      </c>
      <c r="C278" s="2" t="str">
        <f>HYPERLINK("https://drive.google.com/file/d/12YYjAYYJ9q4_Zcllo8m6FnTQ0cRzxupv/view?usp=sharing", IMAGE("https://api.qrserver.com/v1/create-qr-code/?size=150x150&amp;data=https://drive.google.com/file/d/12YYjAYYJ9q4_Zcllo8m6FnTQ0cRzxupv/view?usp=sharing",1))</f>
        <v/>
      </c>
      <c r="D278" s="3" t="s">
        <v>512</v>
      </c>
      <c r="E278" s="2" t="str">
        <f>HYPERLINK("https://drive.google.com/file/d/12YYjAYYJ9q4_Zcllo8m6FnTQ0cRzxupv/view?usp=sharing","Chateau Marmont Event Photography.epub")</f>
        <v>Chateau Marmont Event Photography.epub</v>
      </c>
    </row>
    <row r="279" ht="112.5" customHeight="1">
      <c r="A279" s="1" t="s">
        <v>504</v>
      </c>
      <c r="B279" s="1" t="s">
        <v>513</v>
      </c>
      <c r="C279" s="2" t="str">
        <f>HYPERLINK("https://drive.google.com/file/d/1uR4mPRpfPjzYHmHMj7XgXBPxRTn4KJfP/view?usp=sharing", IMAGE("https://api.qrserver.com/v1/create-qr-code/?size=150x150&amp;data=https://drive.google.com/file/d/1uR4mPRpfPjzYHmHMj7XgXBPxRTn4KJfP/view?usp=sharing",1))</f>
        <v/>
      </c>
      <c r="D279" s="3" t="s">
        <v>514</v>
      </c>
      <c r="E279" s="2" t="str">
        <f>HYPERLINK("https://drive.google.com/file/d/1uR4mPRpfPjzYHmHMj7XgXBPxRTn4KJfP/view?usp=sharing","Soho House West Hollywood Marketing.odt")</f>
        <v>Soho House West Hollywood Marketing.odt</v>
      </c>
    </row>
    <row r="280" ht="112.5" customHeight="1">
      <c r="A280" s="1" t="s">
        <v>507</v>
      </c>
      <c r="B280" s="1" t="s">
        <v>515</v>
      </c>
      <c r="C280" s="2" t="str">
        <f>HYPERLINK("https://drive.google.com/file/d/1x3HcI_BnyEXFmAmXdLFNdIKEJcNaXAbT/view?usp=sharing", IMAGE("https://api.qrserver.com/v1/create-qr-code/?size=150x150&amp;data=https://drive.google.com/file/d/1x3HcI_BnyEXFmAmXdLFNdIKEJcNaXAbT/view?usp=sharing",1))</f>
        <v/>
      </c>
      <c r="D280" s="3" t="s">
        <v>516</v>
      </c>
      <c r="E280" s="2" t="str">
        <f>HYPERLINK("https://drive.google.com/file/d/1x3HcI_BnyEXFmAmXdLFNdIKEJcNaXAbT/view?usp=sharing","Soho House West Hollywood Marketing.zip")</f>
        <v>Soho House West Hollywood Marketing.zip</v>
      </c>
    </row>
    <row r="281" ht="112.5" customHeight="1">
      <c r="A281" s="1" t="s">
        <v>510</v>
      </c>
      <c r="B281" s="1" t="s">
        <v>517</v>
      </c>
      <c r="C281" s="2" t="str">
        <f>HYPERLINK("https://drive.google.com/file/d/12U-7D4-c6yOkHe6oacj7NOVcjByywNFX/view?usp=sharing", IMAGE("https://api.qrserver.com/v1/create-qr-code/?size=150x150&amp;data=https://drive.google.com/file/d/12U-7D4-c6yOkHe6oacj7NOVcjByywNFX/view?usp=sharing",1))</f>
        <v/>
      </c>
      <c r="D281" s="3" t="s">
        <v>518</v>
      </c>
      <c r="E281" s="2" t="str">
        <f>HYPERLINK("https://drive.google.com/file/d/12U-7D4-c6yOkHe6oacj7NOVcjByywNFX/view?usp=sharing","Soho House West Hollywood Marketing.epub")</f>
        <v>Soho House West Hollywood Marketing.epub</v>
      </c>
    </row>
    <row r="282" ht="112.5" customHeight="1">
      <c r="A282" s="1" t="s">
        <v>504</v>
      </c>
      <c r="B282" s="1" t="s">
        <v>519</v>
      </c>
      <c r="C282" s="2" t="str">
        <f>HYPERLINK("https://drive.google.com/file/d/1RtXoIqhaHyRDaQdom1xBkXNz3BGqHC9x/view?usp=sharing", IMAGE("https://api.qrserver.com/v1/create-qr-code/?size=150x150&amp;data=https://drive.google.com/file/d/1RtXoIqhaHyRDaQdom1xBkXNz3BGqHC9x/view?usp=sharing",1))</f>
        <v/>
      </c>
      <c r="D282" s="3" t="s">
        <v>520</v>
      </c>
      <c r="E282" s="2" t="str">
        <f>HYPERLINK("https://drive.google.com/file/d/1RtXoIqhaHyRDaQdom1xBkXNz3BGqHC9x/view?usp=sharing","Greystone Mansion Photo Marketing.odt")</f>
        <v>Greystone Mansion Photo Marketing.odt</v>
      </c>
    </row>
    <row r="283" ht="112.5" customHeight="1">
      <c r="A283" s="1" t="s">
        <v>507</v>
      </c>
      <c r="B283" s="1" t="s">
        <v>521</v>
      </c>
      <c r="C283" s="2" t="str">
        <f>HYPERLINK("https://drive.google.com/file/d/1-Dj3G4h7XpO-MBPii77moCiJ8v05rb2q/view?usp=sharing", IMAGE("https://api.qrserver.com/v1/create-qr-code/?size=150x150&amp;data=https://drive.google.com/file/d/1-Dj3G4h7XpO-MBPii77moCiJ8v05rb2q/view?usp=sharing",1))</f>
        <v/>
      </c>
      <c r="D283" s="3" t="s">
        <v>522</v>
      </c>
      <c r="E283" s="2" t="str">
        <f>HYPERLINK("https://drive.google.com/file/d/1-Dj3G4h7XpO-MBPii77moCiJ8v05rb2q/view?usp=sharing","Greystone Mansion Photo Marketing.zip")</f>
        <v>Greystone Mansion Photo Marketing.zip</v>
      </c>
    </row>
    <row r="284" ht="112.5" customHeight="1">
      <c r="A284" s="1" t="s">
        <v>510</v>
      </c>
      <c r="B284" s="1" t="s">
        <v>523</v>
      </c>
      <c r="C284" s="2" t="str">
        <f>HYPERLINK("https://drive.google.com/file/d/1j_IE4SJpGpqylHBN7f4PELm6HRwXwxkP/view?usp=sharing", IMAGE("https://api.qrserver.com/v1/create-qr-code/?size=150x150&amp;data=https://drive.google.com/file/d/1j_IE4SJpGpqylHBN7f4PELm6HRwXwxkP/view?usp=sharing",1))</f>
        <v/>
      </c>
      <c r="D284" s="3" t="s">
        <v>524</v>
      </c>
      <c r="E284" s="2" t="str">
        <f>HYPERLINK("https://drive.google.com/file/d/1j_IE4SJpGpqylHBN7f4PELm6HRwXwxkP/view?usp=sharing","Greystone Mansion Photo Marketing.epub")</f>
        <v>Greystone Mansion Photo Marketing.epub</v>
      </c>
    </row>
    <row r="285" ht="112.5" customHeight="1">
      <c r="A285" s="1" t="s">
        <v>504</v>
      </c>
      <c r="B285" s="1" t="s">
        <v>525</v>
      </c>
      <c r="C285" s="2" t="str">
        <f>HYPERLINK("https://drive.google.com/file/d/1S4iVIok6g_nzdlmrZ1QihQreAt6FRUCF/view?usp=sharing", IMAGE("https://api.qrserver.com/v1/create-qr-code/?size=150x150&amp;data=https://drive.google.com/file/d/1S4iVIok6g_nzdlmrZ1QihQreAt6FRUCF/view?usp=sharing",1))</f>
        <v/>
      </c>
      <c r="D285" s="3" t="s">
        <v>526</v>
      </c>
      <c r="E285" s="2" t="str">
        <f>HYPERLINK("https://drive.google.com/file/d/1S4iVIok6g_nzdlmrZ1QihQreAt6FRUCF/view?usp=sharing","The London West Hollywood Photography.odt")</f>
        <v>The London West Hollywood Photography.odt</v>
      </c>
    </row>
    <row r="286" ht="112.5" customHeight="1">
      <c r="A286" s="1" t="s">
        <v>507</v>
      </c>
      <c r="B286" s="1" t="s">
        <v>527</v>
      </c>
      <c r="C286" s="2" t="str">
        <f>HYPERLINK("https://drive.google.com/file/d/1JP-uKWYCLJwb6tsXQBDZOdj6sEd7RR-7/view?usp=sharing", IMAGE("https://api.qrserver.com/v1/create-qr-code/?size=150x150&amp;data=https://drive.google.com/file/d/1JP-uKWYCLJwb6tsXQBDZOdj6sEd7RR-7/view?usp=sharing",1))</f>
        <v/>
      </c>
      <c r="D286" s="3" t="s">
        <v>528</v>
      </c>
      <c r="E286" s="2" t="str">
        <f>HYPERLINK("https://drive.google.com/file/d/1JP-uKWYCLJwb6tsXQBDZOdj6sEd7RR-7/view?usp=sharing","The London West Hollywood Photography.zip")</f>
        <v>The London West Hollywood Photography.zip</v>
      </c>
    </row>
    <row r="287" ht="112.5" customHeight="1">
      <c r="A287" s="1" t="s">
        <v>510</v>
      </c>
      <c r="B287" s="1" t="s">
        <v>529</v>
      </c>
      <c r="C287" s="2" t="str">
        <f>HYPERLINK("https://drive.google.com/file/d/1gxxWAUdUHdbzO0xisSxCC2KzMtcQuVFd/view?usp=sharing", IMAGE("https://api.qrserver.com/v1/create-qr-code/?size=150x150&amp;data=https://drive.google.com/file/d/1gxxWAUdUHdbzO0xisSxCC2KzMtcQuVFd/view?usp=sharing",1))</f>
        <v/>
      </c>
      <c r="D287" s="3" t="s">
        <v>530</v>
      </c>
      <c r="E287" s="2" t="str">
        <f>HYPERLINK("https://drive.google.com/file/d/1gxxWAUdUHdbzO0xisSxCC2KzMtcQuVFd/view?usp=sharing","The London West Hollywood Photography.epub")</f>
        <v>The London West Hollywood Photography.epub</v>
      </c>
    </row>
    <row r="288" ht="112.5" customHeight="1">
      <c r="A288" s="1" t="s">
        <v>504</v>
      </c>
      <c r="B288" s="1" t="s">
        <v>531</v>
      </c>
      <c r="C288" s="2" t="str">
        <f>HYPERLINK("https://drive.google.com/file/d/1HLb3KiUJ_doYfxrcFK7cu5GKa1FjoOU8/view?usp=sharing", IMAGE("https://api.qrserver.com/v1/create-qr-code/?size=150x150&amp;data=https://drive.google.com/file/d/1HLb3KiUJ_doYfxrcFK7cu5GKa1FjoOU8/view?usp=sharing",1))</f>
        <v/>
      </c>
      <c r="D288" s="3" t="s">
        <v>532</v>
      </c>
      <c r="E288" s="2" t="str">
        <f>HYPERLINK("https://drive.google.com/file/d/1HLb3KiUJ_doYfxrcFK7cu5GKa1FjoOU8/view?usp=sharing","Hammer Museum Event Photography.odt")</f>
        <v>Hammer Museum Event Photography.odt</v>
      </c>
    </row>
    <row r="289" ht="112.5" customHeight="1">
      <c r="A289" s="1" t="s">
        <v>507</v>
      </c>
      <c r="B289" s="1" t="s">
        <v>533</v>
      </c>
      <c r="C289" s="2" t="str">
        <f>HYPERLINK("https://drive.google.com/file/d/1Kb96bZm4DJTrBVJpIeJyIMQlU13Tg3Sx/view?usp=sharing", IMAGE("https://api.qrserver.com/v1/create-qr-code/?size=150x150&amp;data=https://drive.google.com/file/d/1Kb96bZm4DJTrBVJpIeJyIMQlU13Tg3Sx/view?usp=sharing",1))</f>
        <v/>
      </c>
      <c r="D289" s="3" t="s">
        <v>534</v>
      </c>
      <c r="E289" s="2" t="str">
        <f>HYPERLINK("https://drive.google.com/file/d/1Kb96bZm4DJTrBVJpIeJyIMQlU13Tg3Sx/view?usp=sharing","Hammer Museum Event Photography.zip")</f>
        <v>Hammer Museum Event Photography.zip</v>
      </c>
    </row>
    <row r="290" ht="112.5" customHeight="1">
      <c r="A290" s="1" t="s">
        <v>510</v>
      </c>
      <c r="B290" s="1" t="s">
        <v>535</v>
      </c>
      <c r="C290" s="2" t="str">
        <f>HYPERLINK("https://drive.google.com/file/d/1ABm9pVjSkf3gVWBsJ1e-puIFQ4hXe63V/view?usp=sharing", IMAGE("https://api.qrserver.com/v1/create-qr-code/?size=150x150&amp;data=https://drive.google.com/file/d/1ABm9pVjSkf3gVWBsJ1e-puIFQ4hXe63V/view?usp=sharing",1))</f>
        <v/>
      </c>
      <c r="D290" s="3" t="s">
        <v>536</v>
      </c>
      <c r="E290" s="2" t="str">
        <f>HYPERLINK("https://drive.google.com/file/d/1ABm9pVjSkf3gVWBsJ1e-puIFQ4hXe63V/view?usp=sharing","Hammer Museum Event Photography.epub")</f>
        <v>Hammer Museum Event Photography.epub</v>
      </c>
    </row>
    <row r="291" ht="112.5" customHeight="1">
      <c r="A291" s="1" t="s">
        <v>504</v>
      </c>
      <c r="B291" s="1" t="s">
        <v>537</v>
      </c>
      <c r="C291" s="2" t="str">
        <f>HYPERLINK("https://drive.google.com/file/d/1Dv8rDhPsBQj08MlgqI8eKe9t6bHtinXn/view?usp=sharing", IMAGE("https://api.qrserver.com/v1/create-qr-code/?size=150x150&amp;data=https://drive.google.com/file/d/1Dv8rDhPsBQj08MlgqI8eKe9t6bHtinXn/view?usp=sharing",1))</f>
        <v/>
      </c>
      <c r="D291" s="3" t="s">
        <v>538</v>
      </c>
      <c r="E291" s="2" t="str">
        <f>HYPERLINK("https://drive.google.com/file/d/1Dv8rDhPsBQj08MlgqI8eKe9t6bHtinXn/view?usp=sharing","Skirball Cultural Center Marketing.odt")</f>
        <v>Skirball Cultural Center Marketing.odt</v>
      </c>
    </row>
    <row r="292" ht="112.5" customHeight="1">
      <c r="A292" s="1" t="s">
        <v>507</v>
      </c>
      <c r="B292" s="1" t="s">
        <v>539</v>
      </c>
      <c r="C292" s="2" t="str">
        <f>HYPERLINK("https://drive.google.com/file/d/1QfAbtEb7Il3xCxwIxR_GaSetXkz_N-J-/view?usp=sharing", IMAGE("https://api.qrserver.com/v1/create-qr-code/?size=150x150&amp;data=https://drive.google.com/file/d/1QfAbtEb7Il3xCxwIxR_GaSetXkz_N-J-/view?usp=sharing",1))</f>
        <v/>
      </c>
      <c r="D292" s="3" t="s">
        <v>540</v>
      </c>
      <c r="E292" s="2" t="str">
        <f>HYPERLINK("https://drive.google.com/file/d/1QfAbtEb7Il3xCxwIxR_GaSetXkz_N-J-/view?usp=sharing","Skirball Cultural Center Marketing.zip")</f>
        <v>Skirball Cultural Center Marketing.zip</v>
      </c>
    </row>
    <row r="293" ht="112.5" customHeight="1">
      <c r="A293" s="1" t="s">
        <v>510</v>
      </c>
      <c r="B293" s="1" t="s">
        <v>541</v>
      </c>
      <c r="C293" s="2" t="str">
        <f>HYPERLINK("https://drive.google.com/file/d/1GSZu4-R8hhkGXe7F7RiFmQao_P2wRBEh/view?usp=sharing", IMAGE("https://api.qrserver.com/v1/create-qr-code/?size=150x150&amp;data=https://drive.google.com/file/d/1GSZu4-R8hhkGXe7F7RiFmQao_P2wRBEh/view?usp=sharing",1))</f>
        <v/>
      </c>
      <c r="D293" s="3" t="s">
        <v>542</v>
      </c>
      <c r="E293" s="2" t="str">
        <f>HYPERLINK("https://drive.google.com/file/d/1GSZu4-R8hhkGXe7F7RiFmQao_P2wRBEh/view?usp=sharing","Skirball Cultural Center Marketing.epub")</f>
        <v>Skirball Cultural Center Marketing.epub</v>
      </c>
    </row>
    <row r="294" ht="112.5" customHeight="1">
      <c r="A294" s="1" t="s">
        <v>504</v>
      </c>
      <c r="B294" s="1" t="s">
        <v>543</v>
      </c>
      <c r="C294" s="2" t="str">
        <f>HYPERLINK("https://drive.google.com/file/d/1Z4M_amuY4flHgVPW3UxCJcEHXvMU_gyY/view?usp=sharing", IMAGE("https://api.qrserver.com/v1/create-qr-code/?size=150x150&amp;data=https://drive.google.com/file/d/1Z4M_amuY4flHgVPW3UxCJcEHXvMU_gyY/view?usp=sharing",1))</f>
        <v/>
      </c>
      <c r="D294" s="3" t="s">
        <v>544</v>
      </c>
      <c r="E294" s="2" t="str">
        <f>HYPERLINK("https://drive.google.com/file/d/1Z4M_amuY4flHgVPW3UxCJcEHXvMU_gyY/view?usp=sharing","Vibiana Los Angeles Photo Marketing.odt")</f>
        <v>Vibiana Los Angeles Photo Marketing.odt</v>
      </c>
    </row>
    <row r="295" ht="112.5" customHeight="1">
      <c r="A295" s="1" t="s">
        <v>507</v>
      </c>
      <c r="B295" s="1" t="s">
        <v>545</v>
      </c>
      <c r="C295" s="2" t="str">
        <f>HYPERLINK("https://drive.google.com/file/d/1yOV9eeeKbYLS7HcWgKsOSKqlRymmB877/view?usp=sharing", IMAGE("https://api.qrserver.com/v1/create-qr-code/?size=150x150&amp;data=https://drive.google.com/file/d/1yOV9eeeKbYLS7HcWgKsOSKqlRymmB877/view?usp=sharing",1))</f>
        <v/>
      </c>
      <c r="D295" s="3" t="s">
        <v>546</v>
      </c>
      <c r="E295" s="2" t="str">
        <f>HYPERLINK("https://drive.google.com/file/d/1yOV9eeeKbYLS7HcWgKsOSKqlRymmB877/view?usp=sharing","Vibiana Los Angeles Photo Marketing.zip")</f>
        <v>Vibiana Los Angeles Photo Marketing.zip</v>
      </c>
    </row>
    <row r="296" ht="112.5" customHeight="1">
      <c r="A296" s="1" t="s">
        <v>510</v>
      </c>
      <c r="B296" s="1" t="s">
        <v>547</v>
      </c>
      <c r="C296" s="2" t="str">
        <f>HYPERLINK("https://drive.google.com/file/d/1AVUqobZV3WO6L_ihKFIeIoG8y57uL0Ew/view?usp=sharing", IMAGE("https://api.qrserver.com/v1/create-qr-code/?size=150x150&amp;data=https://drive.google.com/file/d/1AVUqobZV3WO6L_ihKFIeIoG8y57uL0Ew/view?usp=sharing",1))</f>
        <v/>
      </c>
      <c r="D296" s="3" t="s">
        <v>548</v>
      </c>
      <c r="E296" s="2" t="str">
        <f>HYPERLINK("https://drive.google.com/file/d/1AVUqobZV3WO6L_ihKFIeIoG8y57uL0Ew/view?usp=sharing","Vibiana Los Angeles Photo Marketing.epub")</f>
        <v>Vibiana Los Angeles Photo Marketing.epub</v>
      </c>
    </row>
    <row r="297" ht="112.5" customHeight="1">
      <c r="A297" s="1" t="s">
        <v>504</v>
      </c>
      <c r="B297" s="1" t="s">
        <v>549</v>
      </c>
      <c r="C297" s="2" t="str">
        <f>HYPERLINK("https://drive.google.com/file/d/1r4SKY9BT4VEeULuXYlOaEfCG4KzJW_KH/view?usp=sharing", IMAGE("https://api.qrserver.com/v1/create-qr-code/?size=150x150&amp;data=https://drive.google.com/file/d/1r4SKY9BT4VEeULuXYlOaEfCG4KzJW_KH/view?usp=sharing",1))</f>
        <v/>
      </c>
      <c r="D297" s="3" t="s">
        <v>550</v>
      </c>
      <c r="E297" s="2" t="str">
        <f>HYPERLINK("https://drive.google.com/file/d/1r4SKY9BT4VEeULuXYlOaEfCG4KzJW_KH/view?usp=sharing","The Revery LA Event Photography.odt")</f>
        <v>The Revery LA Event Photography.odt</v>
      </c>
    </row>
    <row r="298" ht="112.5" customHeight="1">
      <c r="A298" s="1" t="s">
        <v>507</v>
      </c>
      <c r="B298" s="1" t="s">
        <v>551</v>
      </c>
      <c r="C298" s="2" t="str">
        <f>HYPERLINK("https://drive.google.com/file/d/14i62jMntKx4h4LKQdbyDPmmkQSv1_KZ4/view?usp=sharing", IMAGE("https://api.qrserver.com/v1/create-qr-code/?size=150x150&amp;data=https://drive.google.com/file/d/14i62jMntKx4h4LKQdbyDPmmkQSv1_KZ4/view?usp=sharing",1))</f>
        <v/>
      </c>
      <c r="D298" s="3" t="s">
        <v>552</v>
      </c>
      <c r="E298" s="2" t="str">
        <f>HYPERLINK("https://drive.google.com/file/d/14i62jMntKx4h4LKQdbyDPmmkQSv1_KZ4/view?usp=sharing","The Revery LA Event Photography.zip")</f>
        <v>The Revery LA Event Photography.zip</v>
      </c>
    </row>
    <row r="299" ht="112.5" customHeight="1">
      <c r="A299" s="1" t="s">
        <v>510</v>
      </c>
      <c r="B299" s="1" t="s">
        <v>553</v>
      </c>
      <c r="C299" s="2" t="str">
        <f>HYPERLINK("https://drive.google.com/file/d/16StHDfQacxYDcwyAQjKACWRXh3AIGW6N/view?usp=sharing", IMAGE("https://api.qrserver.com/v1/create-qr-code/?size=150x150&amp;data=https://drive.google.com/file/d/16StHDfQacxYDcwyAQjKACWRXh3AIGW6N/view?usp=sharing",1))</f>
        <v/>
      </c>
      <c r="D299" s="3" t="s">
        <v>554</v>
      </c>
      <c r="E299" s="2" t="str">
        <f>HYPERLINK("https://drive.google.com/file/d/16StHDfQacxYDcwyAQjKACWRXh3AIGW6N/view?usp=sharing","The Revery LA Event Photography.epub")</f>
        <v>The Revery LA Event Photography.epub</v>
      </c>
    </row>
    <row r="300" ht="112.5" customHeight="1">
      <c r="A300" s="1" t="s">
        <v>504</v>
      </c>
      <c r="B300" s="1" t="s">
        <v>555</v>
      </c>
      <c r="C300" s="2" t="str">
        <f>HYPERLINK("https://drive.google.com/file/d/1nOZP7CrRpdSmYmxV7wHjy18RMBIoMtPg/view?usp=sharing", IMAGE("https://api.qrserver.com/v1/create-qr-code/?size=150x150&amp;data=https://drive.google.com/file/d/1nOZP7CrRpdSmYmxV7wHjy18RMBIoMtPg/view?usp=sharing",1))</f>
        <v/>
      </c>
      <c r="D300" s="3" t="s">
        <v>556</v>
      </c>
      <c r="E300" s="2" t="str">
        <f>HYPERLINK("https://drive.google.com/file/d/1nOZP7CrRpdSmYmxV7wHjy18RMBIoMtPg/view?usp=sharing","Pelican Hill Luxury Brand Photo.odt")</f>
        <v>Pelican Hill Luxury Brand Photo.odt</v>
      </c>
    </row>
    <row r="301" ht="112.5" customHeight="1">
      <c r="A301" s="1" t="s">
        <v>507</v>
      </c>
      <c r="B301" s="1" t="s">
        <v>557</v>
      </c>
      <c r="C301" s="2" t="str">
        <f>HYPERLINK("https://drive.google.com/file/d/1pAjV-q5bwNVKJmE9dGrMm197RHsqNL83/view?usp=sharing", IMAGE("https://api.qrserver.com/v1/create-qr-code/?size=150x150&amp;data=https://drive.google.com/file/d/1pAjV-q5bwNVKJmE9dGrMm197RHsqNL83/view?usp=sharing",1))</f>
        <v/>
      </c>
      <c r="D301" s="3" t="s">
        <v>558</v>
      </c>
      <c r="E301" s="2" t="str">
        <f>HYPERLINK("https://drive.google.com/file/d/1pAjV-q5bwNVKJmE9dGrMm197RHsqNL83/view?usp=sharing","Pelican Hill Luxury Brand Photo.zip")</f>
        <v>Pelican Hill Luxury Brand Photo.zip</v>
      </c>
    </row>
    <row r="302" ht="112.5" customHeight="1">
      <c r="A302" s="1" t="s">
        <v>510</v>
      </c>
      <c r="B302" s="1" t="s">
        <v>559</v>
      </c>
      <c r="C302" s="2" t="str">
        <f>HYPERLINK("https://drive.google.com/file/d/1POnG9W4e8mJGGBQEq3-DZ1qXR_QPJ6Ld/view?usp=sharing", IMAGE("https://api.qrserver.com/v1/create-qr-code/?size=150x150&amp;data=https://drive.google.com/file/d/1POnG9W4e8mJGGBQEq3-DZ1qXR_QPJ6Ld/view?usp=sharing",1))</f>
        <v/>
      </c>
      <c r="D302" s="3" t="s">
        <v>560</v>
      </c>
      <c r="E302" s="2" t="str">
        <f>HYPERLINK("https://drive.google.com/file/d/1POnG9W4e8mJGGBQEq3-DZ1qXR_QPJ6Ld/view?usp=sharing","Pelican Hill Luxury Brand Photo.epub")</f>
        <v>Pelican Hill Luxury Brand Photo.epub</v>
      </c>
    </row>
    <row r="303" ht="112.5" customHeight="1">
      <c r="A303" s="1" t="s">
        <v>504</v>
      </c>
      <c r="B303" s="1" t="s">
        <v>561</v>
      </c>
      <c r="C303" s="2" t="str">
        <f>HYPERLINK("https://drive.google.com/file/d/1MHuCeoZe4qree6YzzxPTjNzjn-LG8sp9/view?usp=sharing", IMAGE("https://api.qrserver.com/v1/create-qr-code/?size=150x150&amp;data=https://drive.google.com/file/d/1MHuCeoZe4qree6YzzxPTjNzjn-LG8sp9/view?usp=sharing",1))</f>
        <v/>
      </c>
      <c r="D303" s="3" t="s">
        <v>562</v>
      </c>
      <c r="E303" s="2" t="str">
        <f>HYPERLINK("https://drive.google.com/file/d/1MHuCeoZe4qree6YzzxPTjNzjn-LG8sp9/view?usp=sharing","Lombardi House Marketing Photography.odt")</f>
        <v>Lombardi House Marketing Photography.odt</v>
      </c>
    </row>
    <row r="304" ht="112.5" customHeight="1">
      <c r="A304" s="1" t="s">
        <v>507</v>
      </c>
      <c r="B304" s="1" t="s">
        <v>563</v>
      </c>
      <c r="C304" s="2" t="str">
        <f>HYPERLINK("https://drive.google.com/file/d/1-HylS_5OfCUpmC9szufhcNysQ-9ovrWG/view?usp=sharing", IMAGE("https://api.qrserver.com/v1/create-qr-code/?size=150x150&amp;data=https://drive.google.com/file/d/1-HylS_5OfCUpmC9szufhcNysQ-9ovrWG/view?usp=sharing",1))</f>
        <v/>
      </c>
      <c r="D304" s="3" t="s">
        <v>564</v>
      </c>
      <c r="E304" s="2" t="str">
        <f>HYPERLINK("https://drive.google.com/file/d/1-HylS_5OfCUpmC9szufhcNysQ-9ovrWG/view?usp=sharing","Lombardi House Marketing Photography.zip")</f>
        <v>Lombardi House Marketing Photography.zip</v>
      </c>
    </row>
    <row r="305" ht="112.5" customHeight="1">
      <c r="A305" s="1" t="s">
        <v>510</v>
      </c>
      <c r="B305" s="1" t="s">
        <v>565</v>
      </c>
      <c r="C305" s="2" t="str">
        <f>HYPERLINK("https://drive.google.com/file/d/1PmSC9qcDy-fgg0mXUhNXgeGIYE-1m_H4/view?usp=sharing", IMAGE("https://api.qrserver.com/v1/create-qr-code/?size=150x150&amp;data=https://drive.google.com/file/d/1PmSC9qcDy-fgg0mXUhNXgeGIYE-1m_H4/view?usp=sharing",1))</f>
        <v/>
      </c>
      <c r="D305" s="3" t="s">
        <v>566</v>
      </c>
      <c r="E305" s="2" t="str">
        <f>HYPERLINK("https://drive.google.com/file/d/1PmSC9qcDy-fgg0mXUhNXgeGIYE-1m_H4/view?usp=sharing","Lombardi House Marketing Photography.epub")</f>
        <v>Lombardi House Marketing Photography.epub</v>
      </c>
    </row>
    <row r="306" ht="112.5" customHeight="1">
      <c r="A306" s="1" t="s">
        <v>504</v>
      </c>
      <c r="B306" s="1" t="s">
        <v>567</v>
      </c>
      <c r="C306" s="2" t="str">
        <f>HYPERLINK("https://drive.google.com/file/d/1ukttbM8qh05m07i-hQq0nk3CgSL-frcF/view?usp=sharing", IMAGE("https://api.qrserver.com/v1/create-qr-code/?size=150x150&amp;data=https://drive.google.com/file/d/1ukttbM8qh05m07i-hQq0nk3CgSL-frcF/view?usp=sharing",1))</f>
        <v/>
      </c>
      <c r="D306" s="3" t="s">
        <v>568</v>
      </c>
      <c r="E306" s="2" t="str">
        <f>HYPERLINK("https://drive.google.com/file/d/1ukttbM8qh05m07i-hQq0nk3CgSL-frcF/view?usp=sharing","Hotel Per La Event Marketing.odt")</f>
        <v>Hotel Per La Event Marketing.odt</v>
      </c>
    </row>
    <row r="307" ht="112.5" customHeight="1">
      <c r="A307" s="1" t="s">
        <v>507</v>
      </c>
      <c r="B307" s="1" t="s">
        <v>569</v>
      </c>
      <c r="C307" s="2" t="str">
        <f>HYPERLINK("https://drive.google.com/file/d/1IonOPkz7SaN5L1gJnjKVe9BSNQW7lYsl/view?usp=sharing", IMAGE("https://api.qrserver.com/v1/create-qr-code/?size=150x150&amp;data=https://drive.google.com/file/d/1IonOPkz7SaN5L1gJnjKVe9BSNQW7lYsl/view?usp=sharing",1))</f>
        <v/>
      </c>
      <c r="D307" s="3" t="s">
        <v>570</v>
      </c>
      <c r="E307" s="2" t="str">
        <f>HYPERLINK("https://drive.google.com/file/d/1IonOPkz7SaN5L1gJnjKVe9BSNQW7lYsl/view?usp=sharing","Hotel Per La Event Marketing.zip")</f>
        <v>Hotel Per La Event Marketing.zip</v>
      </c>
    </row>
    <row r="308" ht="112.5" customHeight="1">
      <c r="A308" s="1" t="s">
        <v>510</v>
      </c>
      <c r="B308" s="1" t="s">
        <v>571</v>
      </c>
      <c r="C308" s="2" t="str">
        <f>HYPERLINK("https://drive.google.com/file/d/1OtmmiWtsfFgROwjAV55Pfofm40hSgX4h/view?usp=sharing", IMAGE("https://api.qrserver.com/v1/create-qr-code/?size=150x150&amp;data=https://drive.google.com/file/d/1OtmmiWtsfFgROwjAV55Pfofm40hSgX4h/view?usp=sharing",1))</f>
        <v/>
      </c>
      <c r="D308" s="3" t="s">
        <v>572</v>
      </c>
      <c r="E308" s="2" t="str">
        <f>HYPERLINK("https://drive.google.com/file/d/1OtmmiWtsfFgROwjAV55Pfofm40hSgX4h/view?usp=sharing","Hotel Per La Event Marketing.epub")</f>
        <v>Hotel Per La Event Marketing.epub</v>
      </c>
    </row>
    <row r="309" ht="112.5" customHeight="1">
      <c r="A309" s="1" t="s">
        <v>504</v>
      </c>
      <c r="B309" s="1" t="s">
        <v>573</v>
      </c>
      <c r="C309" s="2" t="str">
        <f>HYPERLINK("https://drive.google.com/file/d/1-Q3URQxjXq-gdkVlyLKoIJWN6JwYTHPs/view?usp=sharing", IMAGE("https://api.qrserver.com/v1/create-qr-code/?size=150x150&amp;data=https://drive.google.com/file/d/1-Q3URQxjXq-gdkVlyLKoIJWN6JwYTHPs/view?usp=sharing",1))</f>
        <v/>
      </c>
      <c r="D309" s="3" t="s">
        <v>574</v>
      </c>
      <c r="E309" s="2" t="str">
        <f>HYPERLINK("https://drive.google.com/file/d/1-Q3URQxjXq-gdkVlyLKoIJWN6JwYTHPs/view?usp=sharing","High Net Worth Photography Services.odt")</f>
        <v>High Net Worth Photography Services.odt</v>
      </c>
    </row>
    <row r="310" ht="112.5" customHeight="1">
      <c r="A310" s="1" t="s">
        <v>507</v>
      </c>
      <c r="B310" s="1" t="s">
        <v>575</v>
      </c>
      <c r="C310" s="2" t="str">
        <f>HYPERLINK("https://drive.google.com/file/d/1V78mhwctkrsHWOOjCZ5bcYM46qA7-XVr/view?usp=sharing", IMAGE("https://api.qrserver.com/v1/create-qr-code/?size=150x150&amp;data=https://drive.google.com/file/d/1V78mhwctkrsHWOOjCZ5bcYM46qA7-XVr/view?usp=sharing",1))</f>
        <v/>
      </c>
      <c r="D310" s="3" t="s">
        <v>576</v>
      </c>
      <c r="E310" s="2" t="str">
        <f>HYPERLINK("https://drive.google.com/file/d/1V78mhwctkrsHWOOjCZ5bcYM46qA7-XVr/view?usp=sharing","High Net Worth Photography Services.zip")</f>
        <v>High Net Worth Photography Services.zip</v>
      </c>
    </row>
    <row r="311" ht="112.5" customHeight="1">
      <c r="A311" s="1" t="s">
        <v>510</v>
      </c>
      <c r="B311" s="1" t="s">
        <v>577</v>
      </c>
      <c r="C311" s="2" t="str">
        <f>HYPERLINK("https://drive.google.com/file/d/1rr3j7DfZZ8z9u5C-pJB8Rn1wM-g-aWV6/view?usp=sharing", IMAGE("https://api.qrserver.com/v1/create-qr-code/?size=150x150&amp;data=https://drive.google.com/file/d/1rr3j7DfZZ8z9u5C-pJB8Rn1wM-g-aWV6/view?usp=sharing",1))</f>
        <v/>
      </c>
      <c r="D311" s="3" t="s">
        <v>578</v>
      </c>
      <c r="E311" s="2" t="str">
        <f>HYPERLINK("https://drive.google.com/file/d/1rr3j7DfZZ8z9u5C-pJB8Rn1wM-g-aWV6/view?usp=sharing","High Net Worth Photography Services.epub")</f>
        <v>High Net Worth Photography Services.epub</v>
      </c>
    </row>
    <row r="312" ht="112.5" customHeight="1">
      <c r="A312" s="1" t="s">
        <v>504</v>
      </c>
      <c r="B312" s="1" t="s">
        <v>579</v>
      </c>
      <c r="C312" s="2" t="str">
        <f>HYPERLINK("https://drive.google.com/file/d/1kElSSjmK9GQD7j5aFrfgdcjPHYL7byi2/view?usp=sharing", IMAGE("https://api.qrserver.com/v1/create-qr-code/?size=150x150&amp;data=https://drive.google.com/file/d/1kElSSjmK9GQD7j5aFrfgdcjPHYL7byi2/view?usp=sharing",1))</f>
        <v/>
      </c>
      <c r="D312" s="3" t="s">
        <v>580</v>
      </c>
      <c r="E312" s="2" t="str">
        <f>HYPERLINK("https://drive.google.com/file/d/1kElSSjmK9GQD7j5aFrfgdcjPHYL7byi2/view?usp=sharing","Luxury Gala Photography Los Angeles.odt")</f>
        <v>Luxury Gala Photography Los Angeles.odt</v>
      </c>
    </row>
    <row r="313" ht="112.5" customHeight="1">
      <c r="A313" s="1" t="s">
        <v>507</v>
      </c>
      <c r="B313" s="1" t="s">
        <v>581</v>
      </c>
      <c r="C313" s="2" t="str">
        <f>HYPERLINK("https://drive.google.com/file/d/1Zbkn9b0iujvtJ0cZYM9W4wJUd0f2zp_9/view?usp=sharing", IMAGE("https://api.qrserver.com/v1/create-qr-code/?size=150x150&amp;data=https://drive.google.com/file/d/1Zbkn9b0iujvtJ0cZYM9W4wJUd0f2zp_9/view?usp=sharing",1))</f>
        <v/>
      </c>
      <c r="D313" s="3" t="s">
        <v>582</v>
      </c>
      <c r="E313" s="2" t="str">
        <f>HYPERLINK("https://drive.google.com/file/d/1Zbkn9b0iujvtJ0cZYM9W4wJUd0f2zp_9/view?usp=sharing","Luxury Gala Photography Los Angeles.zip")</f>
        <v>Luxury Gala Photography Los Angeles.zip</v>
      </c>
    </row>
    <row r="314" ht="112.5" customHeight="1">
      <c r="A314" s="1" t="s">
        <v>510</v>
      </c>
      <c r="B314" s="1" t="s">
        <v>583</v>
      </c>
      <c r="C314" s="2" t="str">
        <f>HYPERLINK("https://drive.google.com/file/d/1xNIA8OfdbHCrA0SQ2QPJWmDZ9tpns9H9/view?usp=sharing", IMAGE("https://api.qrserver.com/v1/create-qr-code/?size=150x150&amp;data=https://drive.google.com/file/d/1xNIA8OfdbHCrA0SQ2QPJWmDZ9tpns9H9/view?usp=sharing",1))</f>
        <v/>
      </c>
      <c r="D314" s="3" t="s">
        <v>584</v>
      </c>
      <c r="E314" s="2" t="str">
        <f>HYPERLINK("https://drive.google.com/file/d/1xNIA8OfdbHCrA0SQ2QPJWmDZ9tpns9H9/view?usp=sharing","Luxury Gala Photography Los Angeles.epub")</f>
        <v>Luxury Gala Photography Los Angeles.epub</v>
      </c>
    </row>
    <row r="315" ht="112.5" customHeight="1">
      <c r="A315" s="1" t="s">
        <v>504</v>
      </c>
      <c r="B315" s="1" t="s">
        <v>585</v>
      </c>
      <c r="C315" s="2" t="str">
        <f>HYPERLINK("https://drive.google.com/file/d/1KOgnzwNyGj1SV2LJVeaviM7Drul9Pwvi/view?usp=sharing", IMAGE("https://api.qrserver.com/v1/create-qr-code/?size=150x150&amp;data=https://drive.google.com/file/d/1KOgnzwNyGj1SV2LJVeaviM7Drul9Pwvi/view?usp=sharing",1))</f>
        <v/>
      </c>
      <c r="D315" s="3" t="s">
        <v>586</v>
      </c>
      <c r="E315" s="2" t="str">
        <f>HYPERLINK("https://drive.google.com/file/d/1KOgnzwNyGj1SV2LJVeaviM7Drul9Pwvi/view?usp=sharing","Boutique Event Marketing Agency LA.odt")</f>
        <v>Boutique Event Marketing Agency LA.odt</v>
      </c>
    </row>
    <row r="316" ht="112.5" customHeight="1">
      <c r="A316" s="1" t="s">
        <v>507</v>
      </c>
      <c r="B316" s="1" t="s">
        <v>587</v>
      </c>
      <c r="C316" s="2" t="str">
        <f>HYPERLINK("https://drive.google.com/file/d/1pk1UcyjAMj6kbSr7Xq-iZF4L20Qfj0TM/view?usp=sharing", IMAGE("https://api.qrserver.com/v1/create-qr-code/?size=150x150&amp;data=https://drive.google.com/file/d/1pk1UcyjAMj6kbSr7Xq-iZF4L20Qfj0TM/view?usp=sharing",1))</f>
        <v/>
      </c>
      <c r="D316" s="3" t="s">
        <v>588</v>
      </c>
      <c r="E316" s="2" t="str">
        <f>HYPERLINK("https://drive.google.com/file/d/1pk1UcyjAMj6kbSr7Xq-iZF4L20Qfj0TM/view?usp=sharing","Boutique Event Marketing Agency LA.zip")</f>
        <v>Boutique Event Marketing Agency LA.zip</v>
      </c>
    </row>
    <row r="317" ht="112.5" customHeight="1">
      <c r="A317" s="1" t="s">
        <v>510</v>
      </c>
      <c r="B317" s="1" t="s">
        <v>589</v>
      </c>
      <c r="C317" s="2" t="str">
        <f>HYPERLINK("https://drive.google.com/file/d/1dJGPaXJ2gjmD_YEPGsd3q-EBgYnBnYjf/view?usp=sharing", IMAGE("https://api.qrserver.com/v1/create-qr-code/?size=150x150&amp;data=https://drive.google.com/file/d/1dJGPaXJ2gjmD_YEPGsd3q-EBgYnBnYjf/view?usp=sharing",1))</f>
        <v/>
      </c>
      <c r="D317" s="3" t="s">
        <v>590</v>
      </c>
      <c r="E317" s="2" t="str">
        <f>HYPERLINK("https://drive.google.com/file/d/1dJGPaXJ2gjmD_YEPGsd3q-EBgYnBnYjf/view?usp=sharing","Boutique Event Marketing Agency LA.epub")</f>
        <v>Boutique Event Marketing Agency LA.epub</v>
      </c>
    </row>
    <row r="318" ht="112.5" customHeight="1">
      <c r="A318" s="1" t="s">
        <v>504</v>
      </c>
      <c r="B318" s="1" t="s">
        <v>591</v>
      </c>
      <c r="C318" s="2" t="str">
        <f>HYPERLINK("https://drive.google.com/file/d/1E3dWLqQXdr1xNXaefnig1T2q2SX5CNrU/view?usp=sharing", IMAGE("https://api.qrserver.com/v1/create-qr-code/?size=150x150&amp;data=https://drive.google.com/file/d/1E3dWLqQXdr1xNXaefnig1T2q2SX5CNrU/view?usp=sharing",1))</f>
        <v/>
      </c>
      <c r="D318" s="3" t="s">
        <v>592</v>
      </c>
      <c r="E318" s="2" t="str">
        <f>HYPERLINK("https://drive.google.com/file/d/1E3dWLqQXdr1xNXaefnig1T2q2SX5CNrU/view?usp=sharing","Premium Visual Brand Strategy.odt")</f>
        <v>Premium Visual Brand Strategy.odt</v>
      </c>
    </row>
    <row r="319" ht="112.5" customHeight="1">
      <c r="A319" s="1" t="s">
        <v>507</v>
      </c>
      <c r="B319" s="1" t="s">
        <v>593</v>
      </c>
      <c r="C319" s="2" t="str">
        <f>HYPERLINK("https://drive.google.com/file/d/17d8_8md5c_wL3sbtq5Iws70SR-MDr6si/view?usp=sharing", IMAGE("https://api.qrserver.com/v1/create-qr-code/?size=150x150&amp;data=https://drive.google.com/file/d/17d8_8md5c_wL3sbtq5Iws70SR-MDr6si/view?usp=sharing",1))</f>
        <v/>
      </c>
      <c r="D319" s="3" t="s">
        <v>594</v>
      </c>
      <c r="E319" s="2" t="str">
        <f>HYPERLINK("https://drive.google.com/file/d/17d8_8md5c_wL3sbtq5Iws70SR-MDr6si/view?usp=sharing","Premium Visual Brand Strategy.zip")</f>
        <v>Premium Visual Brand Strategy.zip</v>
      </c>
    </row>
    <row r="320" ht="112.5" customHeight="1">
      <c r="A320" s="1" t="s">
        <v>510</v>
      </c>
      <c r="B320" s="1" t="s">
        <v>595</v>
      </c>
      <c r="C320" s="2" t="str">
        <f>HYPERLINK("https://drive.google.com/file/d/1LzZ3PeyyjQATomzCszRlnHtT0-rSMRoP/view?usp=sharing", IMAGE("https://api.qrserver.com/v1/create-qr-code/?size=150x150&amp;data=https://drive.google.com/file/d/1LzZ3PeyyjQATomzCszRlnHtT0-rSMRoP/view?usp=sharing",1))</f>
        <v/>
      </c>
      <c r="D320" s="3" t="s">
        <v>596</v>
      </c>
      <c r="E320" s="2" t="str">
        <f>HYPERLINK("https://drive.google.com/file/d/1LzZ3PeyyjQATomzCszRlnHtT0-rSMRoP/view?usp=sharing","Premium Visual Brand Strategy.epub")</f>
        <v>Premium Visual Brand Strategy.epub</v>
      </c>
    </row>
    <row r="321" ht="112.5" customHeight="1">
      <c r="A321" s="1" t="s">
        <v>504</v>
      </c>
      <c r="B321" s="1" t="s">
        <v>597</v>
      </c>
      <c r="C321" s="2" t="str">
        <f>HYPERLINK("https://drive.google.com/file/d/1hbX8veO0YZ0AYR-UxTgyqe59bJuERJAA/view?usp=sharing", IMAGE("https://api.qrserver.com/v1/create-qr-code/?size=150x150&amp;data=https://drive.google.com/file/d/1hbX8veO0YZ0AYR-UxTgyqe59bJuERJAA/view?usp=sharing",1))</f>
        <v/>
      </c>
      <c r="D321" s="3" t="s">
        <v>598</v>
      </c>
      <c r="E321" s="2" t="str">
        <f>HYPERLINK("https://drive.google.com/file/d/1hbX8veO0YZ0AYR-UxTgyqe59bJuERJAA/view?usp=sharing","Private Estate Event Photography.odt")</f>
        <v>Private Estate Event Photography.odt</v>
      </c>
    </row>
    <row r="322" ht="112.5" customHeight="1">
      <c r="A322" s="1" t="s">
        <v>507</v>
      </c>
      <c r="B322" s="1" t="s">
        <v>599</v>
      </c>
      <c r="C322" s="2" t="str">
        <f>HYPERLINK("https://drive.google.com/file/d/1f4Uq7_QkdKMJHDmqmZfj0u2HCOySlSye/view?usp=sharing", IMAGE("https://api.qrserver.com/v1/create-qr-code/?size=150x150&amp;data=https://drive.google.com/file/d/1f4Uq7_QkdKMJHDmqmZfj0u2HCOySlSye/view?usp=sharing",1))</f>
        <v/>
      </c>
      <c r="D322" s="3" t="s">
        <v>600</v>
      </c>
      <c r="E322" s="2" t="str">
        <f>HYPERLINK("https://drive.google.com/file/d/1f4Uq7_QkdKMJHDmqmZfj0u2HCOySlSye/view?usp=sharing","Private Estate Event Photography.zip")</f>
        <v>Private Estate Event Photography.zip</v>
      </c>
    </row>
    <row r="323" ht="112.5" customHeight="1">
      <c r="A323" s="1" t="s">
        <v>510</v>
      </c>
      <c r="B323" s="1" t="s">
        <v>601</v>
      </c>
      <c r="C323" s="2" t="str">
        <f>HYPERLINK("https://drive.google.com/file/d/157qQGTTZP4PtIn9P6ds61KrS6gipjaMK/view?usp=sharing", IMAGE("https://api.qrserver.com/v1/create-qr-code/?size=150x150&amp;data=https://drive.google.com/file/d/157qQGTTZP4PtIn9P6ds61KrS6gipjaMK/view?usp=sharing",1))</f>
        <v/>
      </c>
      <c r="D323" s="3" t="s">
        <v>602</v>
      </c>
      <c r="E323" s="2" t="str">
        <f>HYPERLINK("https://drive.google.com/file/d/157qQGTTZP4PtIn9P6ds61KrS6gipjaMK/view?usp=sharing","Private Estate Event Photography.epub")</f>
        <v>Private Estate Event Photography.epub</v>
      </c>
    </row>
    <row r="324" ht="112.5" customHeight="1">
      <c r="A324" s="1" t="s">
        <v>504</v>
      </c>
      <c r="B324" s="1" t="s">
        <v>603</v>
      </c>
      <c r="C324" s="2" t="str">
        <f>HYPERLINK("https://drive.google.com/file/d/1qHrdAlmTfobHrojYkgA0bPgWrGBKbsUp/view?usp=sharing", IMAGE("https://api.qrserver.com/v1/create-qr-code/?size=150x150&amp;data=https://drive.google.com/file/d/1qHrdAlmTfobHrojYkgA0bPgWrGBKbsUp/view?usp=sharing",1))</f>
        <v/>
      </c>
      <c r="D324" s="3" t="s">
        <v>604</v>
      </c>
      <c r="E324" s="2" t="str">
        <f>HYPERLINK("https://drive.google.com/file/d/1qHrdAlmTfobHrojYkgA0bPgWrGBKbsUp/view?usp=sharing","Elite Corporate Event Marketing.odt")</f>
        <v>Elite Corporate Event Marketing.odt</v>
      </c>
    </row>
    <row r="325" ht="112.5" customHeight="1">
      <c r="A325" s="1" t="s">
        <v>507</v>
      </c>
      <c r="B325" s="1" t="s">
        <v>605</v>
      </c>
      <c r="C325" s="2" t="str">
        <f>HYPERLINK("https://drive.google.com/file/d/1UE_iUvC12rhteVBlDkdode9xCo-iLDFU/view?usp=sharing", IMAGE("https://api.qrserver.com/v1/create-qr-code/?size=150x150&amp;data=https://drive.google.com/file/d/1UE_iUvC12rhteVBlDkdode9xCo-iLDFU/view?usp=sharing",1))</f>
        <v/>
      </c>
      <c r="D325" s="3" t="s">
        <v>606</v>
      </c>
      <c r="E325" s="2" t="str">
        <f>HYPERLINK("https://drive.google.com/file/d/1UE_iUvC12rhteVBlDkdode9xCo-iLDFU/view?usp=sharing","Elite Corporate Event Marketing.zip")</f>
        <v>Elite Corporate Event Marketing.zip</v>
      </c>
    </row>
    <row r="326" ht="112.5" customHeight="1">
      <c r="A326" s="1" t="s">
        <v>510</v>
      </c>
      <c r="B326" s="1" t="s">
        <v>607</v>
      </c>
      <c r="C326" s="2" t="str">
        <f>HYPERLINK("https://drive.google.com/file/d/1x53uU6BspJal8z74T2iMkfISpI_jha-W/view?usp=sharing", IMAGE("https://api.qrserver.com/v1/create-qr-code/?size=150x150&amp;data=https://drive.google.com/file/d/1x53uU6BspJal8z74T2iMkfISpI_jha-W/view?usp=sharing",1))</f>
        <v/>
      </c>
      <c r="D326" s="3" t="s">
        <v>608</v>
      </c>
      <c r="E326" s="2" t="str">
        <f>HYPERLINK("https://drive.google.com/file/d/1x53uU6BspJal8z74T2iMkfISpI_jha-W/view?usp=sharing","Elite Corporate Event Marketing.epub")</f>
        <v>Elite Corporate Event Marketing.epub</v>
      </c>
    </row>
    <row r="327" ht="112.5" customHeight="1">
      <c r="A327" s="1" t="s">
        <v>504</v>
      </c>
      <c r="B327" s="1" t="s">
        <v>609</v>
      </c>
      <c r="C327" s="2" t="str">
        <f>HYPERLINK("https://drive.google.com/file/d/1BtrRHPSs7uI14oy2IOLXQkPUAsSmocXE/view?usp=sharing", IMAGE("https://api.qrserver.com/v1/create-qr-code/?size=150x150&amp;data=https://drive.google.com/file/d/1BtrRHPSs7uI14oy2IOLXQkPUAsSmocXE/view?usp=sharing",1))</f>
        <v/>
      </c>
      <c r="D327" s="3" t="s">
        <v>610</v>
      </c>
      <c r="E327" s="2" t="str">
        <f>HYPERLINK("https://drive.google.com/file/d/1BtrRHPSs7uI14oy2IOLXQkPUAsSmocXE/view?usp=sharing","Ultra Luxury Brand Activation LA.odt")</f>
        <v>Ultra Luxury Brand Activation LA.odt</v>
      </c>
    </row>
    <row r="328" ht="112.5" customHeight="1">
      <c r="A328" s="1" t="s">
        <v>507</v>
      </c>
      <c r="B328" s="1" t="s">
        <v>611</v>
      </c>
      <c r="C328" s="2" t="str">
        <f>HYPERLINK("https://drive.google.com/file/d/1mm-_n-Oz8XVl9PS775WV5-f-K9xINd2k/view?usp=sharing", IMAGE("https://api.qrserver.com/v1/create-qr-code/?size=150x150&amp;data=https://drive.google.com/file/d/1mm-_n-Oz8XVl9PS775WV5-f-K9xINd2k/view?usp=sharing",1))</f>
        <v/>
      </c>
      <c r="D328" s="3" t="s">
        <v>612</v>
      </c>
      <c r="E328" s="2" t="str">
        <f>HYPERLINK("https://drive.google.com/file/d/1mm-_n-Oz8XVl9PS775WV5-f-K9xINd2k/view?usp=sharing","Ultra Luxury Brand Activation LA.zip")</f>
        <v>Ultra Luxury Brand Activation LA.zip</v>
      </c>
    </row>
    <row r="329" ht="112.5" customHeight="1">
      <c r="A329" s="1" t="s">
        <v>510</v>
      </c>
      <c r="B329" s="1" t="s">
        <v>613</v>
      </c>
      <c r="C329" s="2" t="str">
        <f>HYPERLINK("https://drive.google.com/file/d/1Z5Skpu-6FCcladJJ0woDTa7Ul0Bo5rzn/view?usp=sharing", IMAGE("https://api.qrserver.com/v1/create-qr-code/?size=150x150&amp;data=https://drive.google.com/file/d/1Z5Skpu-6FCcladJJ0woDTa7Ul0Bo5rzn/view?usp=sharing",1))</f>
        <v/>
      </c>
      <c r="D329" s="3" t="s">
        <v>614</v>
      </c>
      <c r="E329" s="2" t="str">
        <f>HYPERLINK("https://drive.google.com/file/d/1Z5Skpu-6FCcladJJ0woDTa7Ul0Bo5rzn/view?usp=sharing","Ultra Luxury Brand Activation LA.epub")</f>
        <v>Ultra Luxury Brand Activation LA.epub</v>
      </c>
    </row>
    <row r="330" ht="112.5" customHeight="1">
      <c r="A330" s="1" t="s">
        <v>504</v>
      </c>
      <c r="B330" s="1" t="s">
        <v>615</v>
      </c>
      <c r="C330" s="2" t="str">
        <f>HYPERLINK("https://drive.google.com/file/d/1GwGZ_mY18wjS8bkXQ40RaqX0XQCyBd8S/view?usp=sharing", IMAGE("https://api.qrserver.com/v1/create-qr-code/?size=150x150&amp;data=https://drive.google.com/file/d/1GwGZ_mY18wjS8bkXQ40RaqX0XQCyBd8S/view?usp=sharing",1))</f>
        <v/>
      </c>
      <c r="D330" s="3" t="s">
        <v>616</v>
      </c>
      <c r="E330" s="2" t="str">
        <f>HYPERLINK("https://drive.google.com/file/d/1GwGZ_mY18wjS8bkXQ40RaqX0XQCyBd8S/view?usp=sharing","The Maybourne Beverly Hills Marketing.odt")</f>
        <v>The Maybourne Beverly Hills Marketing.odt</v>
      </c>
    </row>
    <row r="331" ht="112.5" customHeight="1">
      <c r="A331" s="1" t="s">
        <v>507</v>
      </c>
      <c r="B331" s="1" t="s">
        <v>617</v>
      </c>
      <c r="C331" s="2" t="str">
        <f>HYPERLINK("https://drive.google.com/file/d/1AYaEq97nASbvB6nxWwEveMsGt4IHB5uE/view?usp=sharing", IMAGE("https://api.qrserver.com/v1/create-qr-code/?size=150x150&amp;data=https://drive.google.com/file/d/1AYaEq97nASbvB6nxWwEveMsGt4IHB5uE/view?usp=sharing",1))</f>
        <v/>
      </c>
      <c r="D331" s="3" t="s">
        <v>618</v>
      </c>
      <c r="E331" s="2" t="str">
        <f>HYPERLINK("https://drive.google.com/file/d/1AYaEq97nASbvB6nxWwEveMsGt4IHB5uE/view?usp=sharing","The Maybourne Beverly Hills Marketing.zip")</f>
        <v>The Maybourne Beverly Hills Marketing.zip</v>
      </c>
    </row>
    <row r="332" ht="112.5" customHeight="1">
      <c r="A332" s="1" t="s">
        <v>510</v>
      </c>
      <c r="B332" s="1" t="s">
        <v>619</v>
      </c>
      <c r="C332" s="2" t="str">
        <f>HYPERLINK("https://drive.google.com/file/d/1JWmV85c4S0lG9HNFbrEwLfDQmZDDbehE/view?usp=sharing", IMAGE("https://api.qrserver.com/v1/create-qr-code/?size=150x150&amp;data=https://drive.google.com/file/d/1JWmV85c4S0lG9HNFbrEwLfDQmZDDbehE/view?usp=sharing",1))</f>
        <v/>
      </c>
      <c r="D332" s="3" t="s">
        <v>620</v>
      </c>
      <c r="E332" s="2" t="str">
        <f>HYPERLINK("https://drive.google.com/file/d/1JWmV85c4S0lG9HNFbrEwLfDQmZDDbehE/view?usp=sharing","The Maybourne Beverly Hills Marketing.epub")</f>
        <v>The Maybourne Beverly Hills Marketing.epub</v>
      </c>
    </row>
    <row r="333" ht="112.5" customHeight="1">
      <c r="A333" s="1" t="s">
        <v>504</v>
      </c>
      <c r="B333" s="1" t="s">
        <v>621</v>
      </c>
      <c r="C333" s="2" t="str">
        <f>HYPERLINK("https://drive.google.com/file/d/1Ag08Y9rZ15AlzMsoSWX-aeOlWo531c5L/view?usp=sharing", IMAGE("https://api.qrserver.com/v1/create-qr-code/?size=150x150&amp;data=https://drive.google.com/file/d/1Ag08Y9rZ15AlzMsoSWX-aeOlWo531c5L/view?usp=sharing",1))</f>
        <v/>
      </c>
      <c r="D333" s="3" t="s">
        <v>622</v>
      </c>
      <c r="E333" s="2" t="str">
        <f>HYPERLINK("https://drive.google.com/file/d/1Ag08Y9rZ15AlzMsoSWX-aeOlWo531c5L/view?usp=sharing","Waldorf Astoria Beverly Hills Photo.odt")</f>
        <v>Waldorf Astoria Beverly Hills Photo.odt</v>
      </c>
    </row>
    <row r="334" ht="112.5" customHeight="1">
      <c r="A334" s="1" t="s">
        <v>507</v>
      </c>
      <c r="B334" s="1" t="s">
        <v>623</v>
      </c>
      <c r="C334" s="2" t="str">
        <f>HYPERLINK("https://drive.google.com/file/d/1ya9xkNifVmdI1tkfgR-hxc3QV5j2m39y/view?usp=sharing", IMAGE("https://api.qrserver.com/v1/create-qr-code/?size=150x150&amp;data=https://drive.google.com/file/d/1ya9xkNifVmdI1tkfgR-hxc3QV5j2m39y/view?usp=sharing",1))</f>
        <v/>
      </c>
      <c r="D334" s="3" t="s">
        <v>624</v>
      </c>
      <c r="E334" s="2" t="str">
        <f>HYPERLINK("https://drive.google.com/file/d/1ya9xkNifVmdI1tkfgR-hxc3QV5j2m39y/view?usp=sharing","Waldorf Astoria Beverly Hills Photo.zip")</f>
        <v>Waldorf Astoria Beverly Hills Photo.zip</v>
      </c>
    </row>
    <row r="335" ht="112.5" customHeight="1">
      <c r="A335" s="1" t="s">
        <v>510</v>
      </c>
      <c r="B335" s="1" t="s">
        <v>625</v>
      </c>
      <c r="C335" s="2" t="str">
        <f>HYPERLINK("https://drive.google.com/file/d/1KDxsLCvqUnIO3E1Xhogn_cUOw7S-_EkS/view?usp=sharing", IMAGE("https://api.qrserver.com/v1/create-qr-code/?size=150x150&amp;data=https://drive.google.com/file/d/1KDxsLCvqUnIO3E1Xhogn_cUOw7S-_EkS/view?usp=sharing",1))</f>
        <v/>
      </c>
      <c r="D335" s="3" t="s">
        <v>626</v>
      </c>
      <c r="E335" s="2" t="str">
        <f>HYPERLINK("https://drive.google.com/file/d/1KDxsLCvqUnIO3E1Xhogn_cUOw7S-_EkS/view?usp=sharing","Waldorf Astoria Beverly Hills Photo.epub")</f>
        <v>Waldorf Astoria Beverly Hills Photo.epub</v>
      </c>
    </row>
    <row r="336" ht="112.5" customHeight="1">
      <c r="A336" s="1" t="s">
        <v>504</v>
      </c>
      <c r="B336" s="1" t="s">
        <v>627</v>
      </c>
      <c r="C336" s="2" t="str">
        <f>HYPERLINK("https://drive.google.com/file/d/1RWtZj0us4V8yizlP0HWTbeFpF0Ju9sWR/view?usp=sharing", IMAGE("https://api.qrserver.com/v1/create-qr-code/?size=150x150&amp;data=https://drive.google.com/file/d/1RWtZj0us4V8yizlP0HWTbeFpF0Ju9sWR/view?usp=sharing",1))</f>
        <v/>
      </c>
      <c r="D336" s="3" t="s">
        <v>628</v>
      </c>
      <c r="E336" s="2" t="str">
        <f>HYPERLINK("https://drive.google.com/file/d/1RWtZj0us4V8yizlP0HWTbeFpF0Ju9sWR/view?usp=sharing","The Beverly Hills Hotel Event Marketing.odt")</f>
        <v>The Beverly Hills Hotel Event Marketing.odt</v>
      </c>
    </row>
    <row r="337" ht="112.5" customHeight="1">
      <c r="A337" s="1" t="s">
        <v>507</v>
      </c>
      <c r="B337" s="1" t="s">
        <v>629</v>
      </c>
      <c r="C337" s="2" t="str">
        <f>HYPERLINK("https://drive.google.com/file/d/1aZNYoW19kacNbJTa2tA1nphpGYMD-nMD/view?usp=sharing", IMAGE("https://api.qrserver.com/v1/create-qr-code/?size=150x150&amp;data=https://drive.google.com/file/d/1aZNYoW19kacNbJTa2tA1nphpGYMD-nMD/view?usp=sharing",1))</f>
        <v/>
      </c>
      <c r="D337" s="3" t="s">
        <v>630</v>
      </c>
      <c r="E337" s="2" t="str">
        <f>HYPERLINK("https://drive.google.com/file/d/1aZNYoW19kacNbJTa2tA1nphpGYMD-nMD/view?usp=sharing","The Beverly Hills Hotel Event Marketing.zip")</f>
        <v>The Beverly Hills Hotel Event Marketing.zip</v>
      </c>
    </row>
    <row r="338" ht="112.5" customHeight="1">
      <c r="A338" s="1" t="s">
        <v>510</v>
      </c>
      <c r="B338" s="1" t="s">
        <v>631</v>
      </c>
      <c r="C338" s="2" t="str">
        <f>HYPERLINK("https://drive.google.com/file/d/13KOmjp34BExACVXY94EmvzkW9UG9pw1f/view?usp=sharing", IMAGE("https://api.qrserver.com/v1/create-qr-code/?size=150x150&amp;data=https://drive.google.com/file/d/13KOmjp34BExACVXY94EmvzkW9UG9pw1f/view?usp=sharing",1))</f>
        <v/>
      </c>
      <c r="D338" s="3" t="s">
        <v>632</v>
      </c>
      <c r="E338" s="2" t="str">
        <f>HYPERLINK("https://drive.google.com/file/d/13KOmjp34BExACVXY94EmvzkW9UG9pw1f/view?usp=sharing","The Beverly Hills Hotel Event Marketing.epub")</f>
        <v>The Beverly Hills Hotel Event Marketing.epub</v>
      </c>
    </row>
    <row r="339">
      <c r="A339" s="1" t="s">
        <v>633</v>
      </c>
      <c r="B339" s="1" t="s">
        <v>1</v>
      </c>
      <c r="D339" s="3" t="s">
        <v>634</v>
      </c>
    </row>
    <row r="340">
      <c r="A340" s="1" t="s">
        <v>633</v>
      </c>
      <c r="B340" s="1" t="s">
        <v>75</v>
      </c>
      <c r="D340" s="3" t="s">
        <v>635</v>
      </c>
    </row>
    <row r="341">
      <c r="A341" s="1" t="s">
        <v>633</v>
      </c>
      <c r="B341" s="1" t="s">
        <v>86</v>
      </c>
      <c r="D341" s="3" t="s">
        <v>636</v>
      </c>
    </row>
    <row r="342">
      <c r="A342" s="1" t="s">
        <v>633</v>
      </c>
      <c r="B342" s="1" t="s">
        <v>77</v>
      </c>
      <c r="D342" s="3" t="s">
        <v>637</v>
      </c>
    </row>
    <row r="343">
      <c r="A343" s="1" t="s">
        <v>633</v>
      </c>
      <c r="B343" s="1" t="s">
        <v>103</v>
      </c>
      <c r="D343" s="3" t="s">
        <v>638</v>
      </c>
    </row>
    <row r="344">
      <c r="A344" s="1" t="s">
        <v>633</v>
      </c>
      <c r="B344" s="1" t="s">
        <v>185</v>
      </c>
      <c r="D344" s="3" t="s">
        <v>639</v>
      </c>
    </row>
    <row r="345">
      <c r="A345" s="1" t="s">
        <v>633</v>
      </c>
      <c r="B345" s="1" t="s">
        <v>175</v>
      </c>
      <c r="D345" s="3" t="s">
        <v>640</v>
      </c>
    </row>
    <row r="346">
      <c r="A346" s="1" t="s">
        <v>633</v>
      </c>
      <c r="B346" s="1" t="s">
        <v>202</v>
      </c>
      <c r="D346" s="3" t="s">
        <v>641</v>
      </c>
    </row>
    <row r="347">
      <c r="A347" s="1" t="s">
        <v>633</v>
      </c>
      <c r="B347" s="1" t="s">
        <v>200</v>
      </c>
      <c r="D347" s="3" t="s">
        <v>642</v>
      </c>
    </row>
    <row r="348">
      <c r="A348" s="1" t="s">
        <v>633</v>
      </c>
      <c r="B348" s="1" t="s">
        <v>217</v>
      </c>
      <c r="D348" s="3" t="s">
        <v>643</v>
      </c>
    </row>
    <row r="349">
      <c r="A349" s="1" t="s">
        <v>633</v>
      </c>
      <c r="B349" s="1" t="s">
        <v>1</v>
      </c>
      <c r="D349" s="3" t="s">
        <v>644</v>
      </c>
    </row>
    <row r="350">
      <c r="A350" s="1" t="s">
        <v>633</v>
      </c>
      <c r="B350" s="1" t="s">
        <v>75</v>
      </c>
      <c r="D350" s="3" t="s">
        <v>645</v>
      </c>
    </row>
    <row r="351">
      <c r="A351" s="1" t="s">
        <v>633</v>
      </c>
      <c r="B351" s="1" t="s">
        <v>86</v>
      </c>
      <c r="D351" s="3" t="s">
        <v>646</v>
      </c>
    </row>
    <row r="352">
      <c r="A352" s="1" t="s">
        <v>633</v>
      </c>
      <c r="B352" s="1" t="s">
        <v>77</v>
      </c>
      <c r="D352" s="3" t="s">
        <v>647</v>
      </c>
    </row>
    <row r="353">
      <c r="A353" s="1" t="s">
        <v>633</v>
      </c>
      <c r="B353" s="1" t="s">
        <v>103</v>
      </c>
      <c r="D353" s="3" t="s">
        <v>648</v>
      </c>
    </row>
    <row r="354">
      <c r="A354" s="1" t="s">
        <v>633</v>
      </c>
      <c r="B354" s="1" t="s">
        <v>111</v>
      </c>
      <c r="D354" s="3" t="s">
        <v>649</v>
      </c>
    </row>
    <row r="355">
      <c r="A355" s="1" t="s">
        <v>633</v>
      </c>
      <c r="B355" s="1" t="s">
        <v>101</v>
      </c>
      <c r="D355" s="3" t="s">
        <v>650</v>
      </c>
    </row>
    <row r="356">
      <c r="A356" s="1" t="s">
        <v>633</v>
      </c>
      <c r="B356" s="1" t="s">
        <v>126</v>
      </c>
      <c r="D356" s="3" t="s">
        <v>651</v>
      </c>
    </row>
    <row r="357">
      <c r="A357" s="1" t="s">
        <v>633</v>
      </c>
      <c r="B357" s="1" t="s">
        <v>134</v>
      </c>
      <c r="D357" s="3" t="s">
        <v>652</v>
      </c>
    </row>
    <row r="358">
      <c r="A358" s="1" t="s">
        <v>633</v>
      </c>
      <c r="B358" s="1" t="s">
        <v>217</v>
      </c>
      <c r="D358" s="3" t="s">
        <v>653</v>
      </c>
    </row>
    <row r="359">
      <c r="A359" s="1" t="s">
        <v>633</v>
      </c>
      <c r="B359" s="1" t="s">
        <v>225</v>
      </c>
      <c r="D359" s="3" t="s">
        <v>654</v>
      </c>
    </row>
    <row r="360">
      <c r="A360" s="1" t="s">
        <v>633</v>
      </c>
      <c r="B360" s="1" t="s">
        <v>234</v>
      </c>
      <c r="D360" s="3" t="s">
        <v>655</v>
      </c>
    </row>
    <row r="361">
      <c r="A361" s="1" t="s">
        <v>633</v>
      </c>
      <c r="B361" s="1" t="s">
        <v>1</v>
      </c>
      <c r="D361" s="3" t="s">
        <v>656</v>
      </c>
    </row>
    <row r="362">
      <c r="A362" s="1" t="s">
        <v>633</v>
      </c>
      <c r="B362" s="1" t="s">
        <v>75</v>
      </c>
      <c r="D362" s="3" t="s">
        <v>657</v>
      </c>
    </row>
    <row r="363">
      <c r="A363" s="1" t="s">
        <v>633</v>
      </c>
      <c r="B363" s="1" t="s">
        <v>86</v>
      </c>
      <c r="D363" s="3" t="s">
        <v>658</v>
      </c>
    </row>
    <row r="364">
      <c r="A364" s="1" t="s">
        <v>633</v>
      </c>
      <c r="B364" s="1" t="s">
        <v>77</v>
      </c>
      <c r="D364" s="3" t="s">
        <v>659</v>
      </c>
    </row>
    <row r="365">
      <c r="A365" s="1" t="s">
        <v>633</v>
      </c>
      <c r="B365" s="1" t="s">
        <v>103</v>
      </c>
      <c r="D365" s="3" t="s">
        <v>660</v>
      </c>
    </row>
    <row r="366">
      <c r="A366" s="1" t="s">
        <v>633</v>
      </c>
      <c r="B366" s="1" t="s">
        <v>185</v>
      </c>
      <c r="D366" s="3" t="s">
        <v>661</v>
      </c>
    </row>
    <row r="367">
      <c r="A367" s="1" t="s">
        <v>633</v>
      </c>
      <c r="B367" s="1" t="s">
        <v>175</v>
      </c>
      <c r="D367" s="3" t="s">
        <v>662</v>
      </c>
    </row>
    <row r="368">
      <c r="A368" s="1" t="s">
        <v>633</v>
      </c>
      <c r="B368" s="1" t="s">
        <v>202</v>
      </c>
      <c r="D368" s="3" t="s">
        <v>663</v>
      </c>
    </row>
    <row r="369">
      <c r="A369" s="1" t="s">
        <v>633</v>
      </c>
      <c r="B369" s="1" t="s">
        <v>200</v>
      </c>
      <c r="D369" s="3" t="s">
        <v>664</v>
      </c>
    </row>
    <row r="370">
      <c r="A370" s="1" t="s">
        <v>633</v>
      </c>
      <c r="B370" s="1" t="s">
        <v>217</v>
      </c>
      <c r="D370" s="3" t="s">
        <v>665</v>
      </c>
    </row>
    <row r="371">
      <c r="A371" s="1" t="s">
        <v>633</v>
      </c>
      <c r="B371" s="1" t="s">
        <v>1</v>
      </c>
      <c r="D371" s="3" t="s">
        <v>666</v>
      </c>
    </row>
    <row r="372">
      <c r="A372" s="1" t="s">
        <v>633</v>
      </c>
      <c r="B372" s="1" t="s">
        <v>75</v>
      </c>
      <c r="D372" s="3" t="s">
        <v>667</v>
      </c>
    </row>
    <row r="373">
      <c r="A373" s="1" t="s">
        <v>633</v>
      </c>
      <c r="B373" s="1" t="s">
        <v>86</v>
      </c>
      <c r="D373" s="3" t="s">
        <v>668</v>
      </c>
    </row>
    <row r="374">
      <c r="A374" s="1" t="s">
        <v>633</v>
      </c>
      <c r="B374" s="1" t="s">
        <v>77</v>
      </c>
      <c r="D374" s="3" t="s">
        <v>669</v>
      </c>
    </row>
    <row r="375">
      <c r="A375" s="1" t="s">
        <v>633</v>
      </c>
      <c r="B375" s="1" t="s">
        <v>103</v>
      </c>
      <c r="D375" s="3" t="s">
        <v>670</v>
      </c>
    </row>
    <row r="376">
      <c r="A376" s="1" t="s">
        <v>633</v>
      </c>
      <c r="B376" s="1" t="s">
        <v>111</v>
      </c>
      <c r="D376" s="3" t="s">
        <v>671</v>
      </c>
    </row>
    <row r="377">
      <c r="A377" s="1" t="s">
        <v>633</v>
      </c>
      <c r="B377" s="1" t="s">
        <v>101</v>
      </c>
      <c r="D377" s="3" t="s">
        <v>672</v>
      </c>
    </row>
    <row r="378">
      <c r="A378" s="1" t="s">
        <v>633</v>
      </c>
      <c r="B378" s="1" t="s">
        <v>126</v>
      </c>
      <c r="D378" s="3" t="s">
        <v>673</v>
      </c>
    </row>
    <row r="379">
      <c r="A379" s="1" t="s">
        <v>633</v>
      </c>
      <c r="B379" s="1" t="s">
        <v>134</v>
      </c>
      <c r="D379" s="3" t="s">
        <v>674</v>
      </c>
    </row>
    <row r="380">
      <c r="A380" s="1" t="s">
        <v>633</v>
      </c>
      <c r="B380" s="1" t="s">
        <v>217</v>
      </c>
      <c r="D380" s="3" t="s">
        <v>675</v>
      </c>
    </row>
    <row r="381">
      <c r="A381" s="1" t="s">
        <v>633</v>
      </c>
      <c r="B381" s="1" t="s">
        <v>225</v>
      </c>
      <c r="D381" s="3" t="s">
        <v>676</v>
      </c>
    </row>
    <row r="382">
      <c r="A382" s="1" t="s">
        <v>633</v>
      </c>
      <c r="B382" s="1" t="s">
        <v>234</v>
      </c>
      <c r="D382" s="3" t="s">
        <v>677</v>
      </c>
    </row>
    <row r="383">
      <c r="A383" s="1" t="s">
        <v>633</v>
      </c>
      <c r="B383" s="1" t="s">
        <v>1</v>
      </c>
      <c r="D383" s="3" t="s">
        <v>678</v>
      </c>
    </row>
    <row r="384">
      <c r="A384" s="1" t="s">
        <v>633</v>
      </c>
      <c r="B384" s="1" t="s">
        <v>75</v>
      </c>
      <c r="D384" s="3" t="s">
        <v>679</v>
      </c>
    </row>
    <row r="385">
      <c r="A385" s="1" t="s">
        <v>633</v>
      </c>
      <c r="B385" s="1" t="s">
        <v>86</v>
      </c>
      <c r="D385" s="3" t="s">
        <v>680</v>
      </c>
    </row>
    <row r="386">
      <c r="A386" s="1" t="s">
        <v>633</v>
      </c>
      <c r="B386" s="1" t="s">
        <v>77</v>
      </c>
      <c r="D386" s="3" t="s">
        <v>681</v>
      </c>
    </row>
    <row r="387">
      <c r="A387" s="1" t="s">
        <v>633</v>
      </c>
      <c r="B387" s="1" t="s">
        <v>103</v>
      </c>
      <c r="D387" s="3" t="s">
        <v>682</v>
      </c>
    </row>
    <row r="388">
      <c r="A388" s="1" t="s">
        <v>633</v>
      </c>
      <c r="B388" s="1" t="s">
        <v>152</v>
      </c>
      <c r="D388" s="3" t="s">
        <v>683</v>
      </c>
    </row>
    <row r="389">
      <c r="A389" s="1" t="s">
        <v>633</v>
      </c>
      <c r="B389" s="1" t="s">
        <v>160</v>
      </c>
      <c r="D389" s="3" t="s">
        <v>684</v>
      </c>
    </row>
    <row r="390">
      <c r="A390" s="1" t="s">
        <v>633</v>
      </c>
      <c r="B390" s="1" t="s">
        <v>150</v>
      </c>
      <c r="D390" s="3" t="s">
        <v>685</v>
      </c>
    </row>
    <row r="391">
      <c r="A391" s="1" t="s">
        <v>633</v>
      </c>
      <c r="B391" s="1" t="s">
        <v>177</v>
      </c>
      <c r="D391" s="3" t="s">
        <v>686</v>
      </c>
    </row>
    <row r="392">
      <c r="A392" s="1" t="s">
        <v>633</v>
      </c>
      <c r="B392" s="1" t="s">
        <v>185</v>
      </c>
      <c r="D392" s="3" t="s">
        <v>687</v>
      </c>
    </row>
    <row r="393">
      <c r="A393" s="1" t="s">
        <v>633</v>
      </c>
      <c r="B393" s="1" t="s">
        <v>1</v>
      </c>
      <c r="D393" s="3" t="s">
        <v>688</v>
      </c>
    </row>
    <row r="394">
      <c r="A394" s="1" t="s">
        <v>633</v>
      </c>
      <c r="B394" s="1" t="s">
        <v>75</v>
      </c>
      <c r="D394" s="3" t="s">
        <v>689</v>
      </c>
    </row>
    <row r="395">
      <c r="A395" s="1" t="s">
        <v>633</v>
      </c>
      <c r="B395" s="1" t="s">
        <v>86</v>
      </c>
      <c r="D395" s="3" t="s">
        <v>690</v>
      </c>
    </row>
    <row r="396">
      <c r="A396" s="1" t="s">
        <v>633</v>
      </c>
      <c r="B396" s="1" t="s">
        <v>77</v>
      </c>
      <c r="D396" s="3" t="s">
        <v>691</v>
      </c>
    </row>
    <row r="397">
      <c r="A397" s="1" t="s">
        <v>633</v>
      </c>
      <c r="B397" s="1" t="s">
        <v>103</v>
      </c>
      <c r="D397" s="3" t="s">
        <v>692</v>
      </c>
    </row>
    <row r="398">
      <c r="A398" s="1" t="s">
        <v>633</v>
      </c>
      <c r="B398" s="1" t="s">
        <v>126</v>
      </c>
      <c r="D398" s="3" t="s">
        <v>693</v>
      </c>
    </row>
    <row r="399">
      <c r="A399" s="1" t="s">
        <v>633</v>
      </c>
      <c r="B399" s="1" t="s">
        <v>134</v>
      </c>
      <c r="D399" s="3" t="s">
        <v>694</v>
      </c>
    </row>
    <row r="400">
      <c r="A400" s="1" t="s">
        <v>633</v>
      </c>
      <c r="B400" s="1" t="s">
        <v>142</v>
      </c>
      <c r="D400" s="3" t="s">
        <v>695</v>
      </c>
    </row>
    <row r="401">
      <c r="A401" s="1" t="s">
        <v>633</v>
      </c>
      <c r="B401" s="1" t="s">
        <v>152</v>
      </c>
      <c r="D401" s="3" t="s">
        <v>696</v>
      </c>
    </row>
    <row r="402">
      <c r="A402" s="1" t="s">
        <v>633</v>
      </c>
      <c r="B402" s="1" t="s">
        <v>160</v>
      </c>
      <c r="D402" s="3" t="s">
        <v>697</v>
      </c>
    </row>
    <row r="403">
      <c r="A403" s="1" t="s">
        <v>633</v>
      </c>
      <c r="B403" s="1" t="s">
        <v>234</v>
      </c>
      <c r="D403" s="3" t="s">
        <v>698</v>
      </c>
    </row>
    <row r="404">
      <c r="A404" s="1" t="s">
        <v>633</v>
      </c>
      <c r="B404" s="1" t="s">
        <v>1</v>
      </c>
      <c r="D404" s="3" t="s">
        <v>699</v>
      </c>
    </row>
    <row r="405">
      <c r="A405" s="1" t="s">
        <v>633</v>
      </c>
      <c r="B405" s="1" t="s">
        <v>75</v>
      </c>
      <c r="D405" s="3" t="s">
        <v>700</v>
      </c>
    </row>
    <row r="406">
      <c r="A406" s="1" t="s">
        <v>633</v>
      </c>
      <c r="B406" s="1" t="s">
        <v>86</v>
      </c>
      <c r="D406" s="3" t="s">
        <v>701</v>
      </c>
    </row>
    <row r="407">
      <c r="A407" s="1" t="s">
        <v>633</v>
      </c>
      <c r="B407" s="1" t="s">
        <v>77</v>
      </c>
      <c r="D407" s="3" t="s">
        <v>702</v>
      </c>
    </row>
    <row r="408">
      <c r="A408" s="1" t="s">
        <v>633</v>
      </c>
      <c r="B408" s="1" t="s">
        <v>103</v>
      </c>
      <c r="D408" s="3" t="s">
        <v>703</v>
      </c>
    </row>
    <row r="409">
      <c r="A409" s="1" t="s">
        <v>633</v>
      </c>
      <c r="B409" s="1" t="s">
        <v>152</v>
      </c>
      <c r="D409" s="3" t="s">
        <v>704</v>
      </c>
    </row>
    <row r="410">
      <c r="A410" s="1" t="s">
        <v>633</v>
      </c>
      <c r="B410" s="1" t="s">
        <v>160</v>
      </c>
      <c r="D410" s="3" t="s">
        <v>705</v>
      </c>
    </row>
    <row r="411">
      <c r="A411" s="1" t="s">
        <v>633</v>
      </c>
      <c r="B411" s="1" t="s">
        <v>150</v>
      </c>
      <c r="D411" s="3" t="s">
        <v>706</v>
      </c>
    </row>
    <row r="412">
      <c r="A412" s="1" t="s">
        <v>633</v>
      </c>
      <c r="B412" s="1" t="s">
        <v>177</v>
      </c>
      <c r="D412" s="3" t="s">
        <v>707</v>
      </c>
    </row>
    <row r="413">
      <c r="A413" s="1" t="s">
        <v>633</v>
      </c>
      <c r="B413" s="1" t="s">
        <v>185</v>
      </c>
      <c r="D413" s="3" t="s">
        <v>708</v>
      </c>
    </row>
    <row r="414">
      <c r="A414" s="1" t="s">
        <v>633</v>
      </c>
      <c r="B414" s="1" t="s">
        <v>1</v>
      </c>
      <c r="D414" s="3" t="s">
        <v>709</v>
      </c>
    </row>
    <row r="415">
      <c r="A415" s="1" t="s">
        <v>633</v>
      </c>
      <c r="B415" s="1" t="s">
        <v>75</v>
      </c>
      <c r="D415" s="3" t="s">
        <v>710</v>
      </c>
    </row>
    <row r="416">
      <c r="A416" s="1" t="s">
        <v>633</v>
      </c>
      <c r="B416" s="1" t="s">
        <v>86</v>
      </c>
      <c r="D416" s="3" t="s">
        <v>711</v>
      </c>
    </row>
    <row r="417">
      <c r="A417" s="1" t="s">
        <v>633</v>
      </c>
      <c r="B417" s="1" t="s">
        <v>77</v>
      </c>
      <c r="D417" s="3" t="s">
        <v>712</v>
      </c>
    </row>
    <row r="418">
      <c r="A418" s="1" t="s">
        <v>633</v>
      </c>
      <c r="B418" s="1" t="s">
        <v>103</v>
      </c>
      <c r="D418" s="3" t="s">
        <v>713</v>
      </c>
    </row>
    <row r="419">
      <c r="A419" s="1" t="s">
        <v>633</v>
      </c>
      <c r="B419" s="1" t="s">
        <v>150</v>
      </c>
      <c r="D419" s="3" t="s">
        <v>714</v>
      </c>
    </row>
    <row r="420">
      <c r="A420" s="1" t="s">
        <v>633</v>
      </c>
      <c r="B420" s="1" t="s">
        <v>177</v>
      </c>
      <c r="D420" s="3" t="s">
        <v>715</v>
      </c>
    </row>
    <row r="421">
      <c r="A421" s="1" t="s">
        <v>633</v>
      </c>
      <c r="B421" s="1" t="s">
        <v>185</v>
      </c>
      <c r="D421" s="3" t="s">
        <v>716</v>
      </c>
    </row>
    <row r="422">
      <c r="A422" s="1" t="s">
        <v>633</v>
      </c>
      <c r="B422" s="1" t="s">
        <v>175</v>
      </c>
      <c r="D422" s="3" t="s">
        <v>717</v>
      </c>
    </row>
    <row r="423">
      <c r="A423" s="1" t="s">
        <v>633</v>
      </c>
      <c r="B423" s="1" t="s">
        <v>202</v>
      </c>
      <c r="D423" s="3" t="s">
        <v>718</v>
      </c>
    </row>
    <row r="424">
      <c r="A424" s="1" t="s">
        <v>633</v>
      </c>
      <c r="B424" s="1" t="s">
        <v>1</v>
      </c>
      <c r="D424" s="3" t="s">
        <v>719</v>
      </c>
    </row>
    <row r="425">
      <c r="A425" s="1" t="s">
        <v>633</v>
      </c>
      <c r="B425" s="1" t="s">
        <v>75</v>
      </c>
      <c r="D425" s="3" t="s">
        <v>720</v>
      </c>
    </row>
    <row r="426">
      <c r="A426" s="1" t="s">
        <v>633</v>
      </c>
      <c r="B426" s="1" t="s">
        <v>86</v>
      </c>
      <c r="D426" s="3" t="s">
        <v>721</v>
      </c>
    </row>
    <row r="427">
      <c r="A427" s="1" t="s">
        <v>633</v>
      </c>
      <c r="B427" s="1" t="s">
        <v>77</v>
      </c>
      <c r="D427" s="3" t="s">
        <v>722</v>
      </c>
    </row>
    <row r="428">
      <c r="A428" s="1" t="s">
        <v>633</v>
      </c>
      <c r="B428" s="1" t="s">
        <v>103</v>
      </c>
      <c r="D428" s="3" t="s">
        <v>723</v>
      </c>
    </row>
    <row r="429">
      <c r="A429" s="1" t="s">
        <v>633</v>
      </c>
      <c r="B429" s="1" t="s">
        <v>111</v>
      </c>
      <c r="D429" s="3" t="s">
        <v>724</v>
      </c>
    </row>
    <row r="430">
      <c r="A430" s="1" t="s">
        <v>633</v>
      </c>
      <c r="B430" s="1" t="s">
        <v>1</v>
      </c>
      <c r="D430" s="3" t="s">
        <v>725</v>
      </c>
    </row>
    <row r="431">
      <c r="A431" s="1" t="s">
        <v>633</v>
      </c>
      <c r="B431" s="1" t="s">
        <v>75</v>
      </c>
      <c r="D431" s="3" t="s">
        <v>726</v>
      </c>
    </row>
    <row r="432">
      <c r="A432" s="1" t="s">
        <v>633</v>
      </c>
      <c r="B432" s="1" t="s">
        <v>86</v>
      </c>
      <c r="D432" s="3" t="s">
        <v>727</v>
      </c>
    </row>
    <row r="433">
      <c r="A433" s="1" t="s">
        <v>633</v>
      </c>
      <c r="B433" s="1" t="s">
        <v>77</v>
      </c>
      <c r="D433" s="3" t="s">
        <v>728</v>
      </c>
    </row>
    <row r="434">
      <c r="A434" s="1" t="s">
        <v>633</v>
      </c>
      <c r="B434" s="1" t="s">
        <v>103</v>
      </c>
      <c r="D434" s="3" t="s">
        <v>729</v>
      </c>
    </row>
    <row r="435">
      <c r="A435" s="1" t="s">
        <v>633</v>
      </c>
      <c r="B435" s="1" t="s">
        <v>175</v>
      </c>
      <c r="D435" s="3" t="s">
        <v>730</v>
      </c>
    </row>
    <row r="436">
      <c r="A436" s="1" t="s">
        <v>633</v>
      </c>
      <c r="B436" s="1" t="s">
        <v>202</v>
      </c>
      <c r="D436" s="3" t="s">
        <v>731</v>
      </c>
    </row>
    <row r="437">
      <c r="A437" s="1" t="s">
        <v>633</v>
      </c>
      <c r="B437" s="1" t="s">
        <v>200</v>
      </c>
      <c r="D437" s="3" t="s">
        <v>732</v>
      </c>
    </row>
    <row r="438">
      <c r="A438" s="1" t="s">
        <v>633</v>
      </c>
      <c r="B438" s="1" t="s">
        <v>217</v>
      </c>
      <c r="D438" s="3" t="s">
        <v>733</v>
      </c>
    </row>
    <row r="439">
      <c r="A439" s="1" t="s">
        <v>633</v>
      </c>
      <c r="B439" s="1" t="s">
        <v>225</v>
      </c>
      <c r="D439" s="3" t="s">
        <v>734</v>
      </c>
    </row>
    <row r="440">
      <c r="A440" s="1" t="s">
        <v>633</v>
      </c>
      <c r="B440" s="1" t="s">
        <v>1</v>
      </c>
      <c r="D440" s="3" t="s">
        <v>735</v>
      </c>
    </row>
    <row r="441">
      <c r="A441" s="1" t="s">
        <v>633</v>
      </c>
      <c r="B441" s="1" t="s">
        <v>75</v>
      </c>
      <c r="D441" s="3" t="s">
        <v>736</v>
      </c>
    </row>
    <row r="442">
      <c r="A442" s="1" t="s">
        <v>633</v>
      </c>
      <c r="B442" s="1" t="s">
        <v>86</v>
      </c>
      <c r="D442" s="3" t="s">
        <v>737</v>
      </c>
    </row>
    <row r="443">
      <c r="A443" s="1" t="s">
        <v>633</v>
      </c>
      <c r="B443" s="1" t="s">
        <v>77</v>
      </c>
      <c r="D443" s="3" t="s">
        <v>738</v>
      </c>
    </row>
    <row r="444">
      <c r="A444" s="1" t="s">
        <v>633</v>
      </c>
      <c r="B444" s="1" t="s">
        <v>103</v>
      </c>
      <c r="D444" s="3" t="s">
        <v>739</v>
      </c>
    </row>
    <row r="445">
      <c r="A445" s="1" t="s">
        <v>633</v>
      </c>
      <c r="B445" s="1" t="s">
        <v>111</v>
      </c>
      <c r="D445" s="3" t="s">
        <v>740</v>
      </c>
    </row>
    <row r="446">
      <c r="A446" s="1" t="s">
        <v>633</v>
      </c>
      <c r="B446" s="1" t="s">
        <v>185</v>
      </c>
      <c r="D446" s="3" t="s">
        <v>741</v>
      </c>
    </row>
    <row r="447">
      <c r="A447" s="1" t="s">
        <v>633</v>
      </c>
      <c r="B447" s="1" t="s">
        <v>175</v>
      </c>
      <c r="D447" s="3" t="s">
        <v>742</v>
      </c>
    </row>
    <row r="448">
      <c r="A448" s="1" t="s">
        <v>633</v>
      </c>
      <c r="B448" s="1" t="s">
        <v>202</v>
      </c>
      <c r="D448" s="3" t="s">
        <v>743</v>
      </c>
    </row>
    <row r="449">
      <c r="A449" s="1" t="s">
        <v>633</v>
      </c>
      <c r="B449" s="1" t="s">
        <v>200</v>
      </c>
      <c r="D449" s="3" t="s">
        <v>744</v>
      </c>
    </row>
    <row r="450">
      <c r="A450" s="1" t="s">
        <v>633</v>
      </c>
      <c r="B450" s="1" t="s">
        <v>217</v>
      </c>
      <c r="D450" s="3" t="s">
        <v>745</v>
      </c>
    </row>
    <row r="451">
      <c r="A451" s="1" t="s">
        <v>633</v>
      </c>
      <c r="B451" s="1" t="s">
        <v>1</v>
      </c>
      <c r="D451" s="3" t="s">
        <v>746</v>
      </c>
    </row>
    <row r="452">
      <c r="A452" s="1" t="s">
        <v>633</v>
      </c>
      <c r="B452" s="1" t="s">
        <v>75</v>
      </c>
      <c r="D452" s="3" t="s">
        <v>747</v>
      </c>
    </row>
    <row r="453">
      <c r="A453" s="1" t="s">
        <v>633</v>
      </c>
      <c r="B453" s="1" t="s">
        <v>86</v>
      </c>
      <c r="D453" s="3" t="s">
        <v>748</v>
      </c>
    </row>
    <row r="454">
      <c r="A454" s="1" t="s">
        <v>633</v>
      </c>
      <c r="B454" s="1" t="s">
        <v>77</v>
      </c>
      <c r="D454" s="3" t="s">
        <v>749</v>
      </c>
    </row>
    <row r="455">
      <c r="A455" s="1" t="s">
        <v>633</v>
      </c>
      <c r="B455" s="1" t="s">
        <v>103</v>
      </c>
      <c r="D455" s="3" t="s">
        <v>750</v>
      </c>
    </row>
    <row r="456">
      <c r="A456" s="1" t="s">
        <v>633</v>
      </c>
      <c r="B456" s="1" t="s">
        <v>177</v>
      </c>
      <c r="D456" s="3" t="s">
        <v>751</v>
      </c>
    </row>
    <row r="457">
      <c r="A457" s="1" t="s">
        <v>633</v>
      </c>
      <c r="B457" s="1" t="s">
        <v>185</v>
      </c>
      <c r="D457" s="3" t="s">
        <v>752</v>
      </c>
    </row>
    <row r="458">
      <c r="A458" s="1" t="s">
        <v>633</v>
      </c>
      <c r="B458" s="1" t="s">
        <v>175</v>
      </c>
      <c r="D458" s="3" t="s">
        <v>753</v>
      </c>
    </row>
    <row r="459">
      <c r="A459" s="1" t="s">
        <v>633</v>
      </c>
      <c r="B459" s="1" t="s">
        <v>202</v>
      </c>
      <c r="D459" s="3" t="s">
        <v>754</v>
      </c>
    </row>
    <row r="460">
      <c r="A460" s="1" t="s">
        <v>633</v>
      </c>
      <c r="B460" s="1" t="s">
        <v>200</v>
      </c>
      <c r="D460" s="3" t="s">
        <v>755</v>
      </c>
    </row>
    <row r="461">
      <c r="A461" s="1" t="s">
        <v>633</v>
      </c>
      <c r="B461" s="1" t="s">
        <v>1</v>
      </c>
      <c r="D461" s="3" t="s">
        <v>756</v>
      </c>
    </row>
    <row r="462">
      <c r="A462" s="1" t="s">
        <v>633</v>
      </c>
      <c r="B462" s="1" t="s">
        <v>75</v>
      </c>
      <c r="D462" s="3" t="s">
        <v>757</v>
      </c>
    </row>
    <row r="463">
      <c r="A463" s="1" t="s">
        <v>633</v>
      </c>
      <c r="B463" s="1" t="s">
        <v>86</v>
      </c>
      <c r="D463" s="3" t="s">
        <v>758</v>
      </c>
    </row>
    <row r="464">
      <c r="A464" s="1" t="s">
        <v>633</v>
      </c>
      <c r="B464" s="1" t="s">
        <v>77</v>
      </c>
      <c r="D464" s="3" t="s">
        <v>759</v>
      </c>
    </row>
    <row r="465">
      <c r="A465" s="1" t="s">
        <v>633</v>
      </c>
      <c r="B465" s="1" t="s">
        <v>103</v>
      </c>
      <c r="D465" s="3" t="s">
        <v>760</v>
      </c>
    </row>
    <row r="466">
      <c r="A466" s="1" t="s">
        <v>633</v>
      </c>
      <c r="B466" s="1" t="s">
        <v>185</v>
      </c>
      <c r="D466" s="3" t="s">
        <v>761</v>
      </c>
    </row>
    <row r="467">
      <c r="A467" s="1" t="s">
        <v>633</v>
      </c>
      <c r="B467" s="1" t="s">
        <v>175</v>
      </c>
      <c r="D467" s="3" t="s">
        <v>762</v>
      </c>
    </row>
    <row r="468">
      <c r="A468" s="1" t="s">
        <v>633</v>
      </c>
      <c r="B468" s="1" t="s">
        <v>202</v>
      </c>
      <c r="D468" s="3" t="s">
        <v>763</v>
      </c>
    </row>
    <row r="469">
      <c r="A469" s="1" t="s">
        <v>633</v>
      </c>
      <c r="B469" s="1" t="s">
        <v>200</v>
      </c>
      <c r="D469" s="3" t="s">
        <v>764</v>
      </c>
    </row>
    <row r="470">
      <c r="A470" s="1" t="s">
        <v>633</v>
      </c>
      <c r="B470" s="1" t="s">
        <v>217</v>
      </c>
      <c r="D470" s="3" t="s">
        <v>765</v>
      </c>
    </row>
    <row r="471">
      <c r="A471" s="1" t="s">
        <v>633</v>
      </c>
      <c r="B471" s="1" t="s">
        <v>1</v>
      </c>
      <c r="D471" s="3" t="s">
        <v>766</v>
      </c>
    </row>
    <row r="472">
      <c r="A472" s="1" t="s">
        <v>633</v>
      </c>
      <c r="B472" s="1" t="s">
        <v>75</v>
      </c>
      <c r="D472" s="3" t="s">
        <v>767</v>
      </c>
    </row>
    <row r="473">
      <c r="A473" s="1" t="s">
        <v>633</v>
      </c>
      <c r="B473" s="1" t="s">
        <v>86</v>
      </c>
      <c r="D473" s="3" t="s">
        <v>768</v>
      </c>
    </row>
    <row r="474">
      <c r="A474" s="1" t="s">
        <v>633</v>
      </c>
      <c r="B474" s="1" t="s">
        <v>77</v>
      </c>
      <c r="D474" s="3" t="s">
        <v>769</v>
      </c>
    </row>
    <row r="475">
      <c r="A475" s="1" t="s">
        <v>633</v>
      </c>
      <c r="B475" s="1" t="s">
        <v>103</v>
      </c>
      <c r="D475" s="3" t="s">
        <v>770</v>
      </c>
    </row>
    <row r="476">
      <c r="A476" s="1" t="s">
        <v>633</v>
      </c>
      <c r="B476" s="1" t="s">
        <v>177</v>
      </c>
      <c r="D476" s="3" t="s">
        <v>771</v>
      </c>
    </row>
    <row r="477">
      <c r="A477" s="1" t="s">
        <v>633</v>
      </c>
      <c r="B477" s="1" t="s">
        <v>185</v>
      </c>
      <c r="D477" s="3" t="s">
        <v>772</v>
      </c>
    </row>
    <row r="478">
      <c r="A478" s="1" t="s">
        <v>633</v>
      </c>
      <c r="B478" s="1" t="s">
        <v>175</v>
      </c>
      <c r="D478" s="3" t="s">
        <v>773</v>
      </c>
    </row>
    <row r="479">
      <c r="A479" s="1" t="s">
        <v>633</v>
      </c>
      <c r="B479" s="1" t="s">
        <v>202</v>
      </c>
      <c r="D479" s="3" t="s">
        <v>774</v>
      </c>
    </row>
    <row r="480">
      <c r="A480" s="1" t="s">
        <v>633</v>
      </c>
      <c r="B480" s="1" t="s">
        <v>200</v>
      </c>
      <c r="D480" s="3" t="s">
        <v>775</v>
      </c>
    </row>
    <row r="481">
      <c r="A481" s="1" t="s">
        <v>633</v>
      </c>
      <c r="B481" s="1" t="s">
        <v>1</v>
      </c>
      <c r="D481" s="3" t="s">
        <v>776</v>
      </c>
    </row>
    <row r="482">
      <c r="A482" s="1" t="s">
        <v>633</v>
      </c>
      <c r="B482" s="1" t="s">
        <v>75</v>
      </c>
      <c r="D482" s="3" t="s">
        <v>777</v>
      </c>
    </row>
    <row r="483">
      <c r="A483" s="1" t="s">
        <v>633</v>
      </c>
      <c r="B483" s="1" t="s">
        <v>86</v>
      </c>
      <c r="D483" s="3" t="s">
        <v>778</v>
      </c>
    </row>
    <row r="484">
      <c r="A484" s="1" t="s">
        <v>633</v>
      </c>
      <c r="B484" s="1" t="s">
        <v>77</v>
      </c>
      <c r="D484" s="3" t="s">
        <v>779</v>
      </c>
    </row>
    <row r="485">
      <c r="A485" s="1" t="s">
        <v>633</v>
      </c>
      <c r="B485" s="1" t="s">
        <v>103</v>
      </c>
      <c r="D485" s="3" t="s">
        <v>780</v>
      </c>
    </row>
    <row r="486">
      <c r="A486" s="1" t="s">
        <v>633</v>
      </c>
      <c r="B486" s="1" t="s">
        <v>150</v>
      </c>
      <c r="D486" s="3" t="s">
        <v>781</v>
      </c>
    </row>
    <row r="487">
      <c r="A487" s="1" t="s">
        <v>633</v>
      </c>
      <c r="B487" s="1" t="s">
        <v>177</v>
      </c>
      <c r="D487" s="3" t="s">
        <v>782</v>
      </c>
    </row>
    <row r="488">
      <c r="A488" s="1" t="s">
        <v>633</v>
      </c>
      <c r="B488" s="1" t="s">
        <v>185</v>
      </c>
      <c r="D488" s="3" t="s">
        <v>783</v>
      </c>
    </row>
    <row r="489">
      <c r="A489" s="1" t="s">
        <v>633</v>
      </c>
      <c r="B489" s="1" t="s">
        <v>175</v>
      </c>
      <c r="D489" s="3" t="s">
        <v>784</v>
      </c>
    </row>
    <row r="490">
      <c r="A490" s="1" t="s">
        <v>633</v>
      </c>
      <c r="B490" s="1" t="s">
        <v>202</v>
      </c>
      <c r="D490" s="3" t="s">
        <v>785</v>
      </c>
    </row>
    <row r="491">
      <c r="A491" s="1" t="s">
        <v>633</v>
      </c>
      <c r="B491" s="1" t="s">
        <v>1</v>
      </c>
      <c r="D491" s="3" t="s">
        <v>786</v>
      </c>
    </row>
    <row r="492">
      <c r="A492" s="1" t="s">
        <v>633</v>
      </c>
      <c r="B492" s="1" t="s">
        <v>75</v>
      </c>
      <c r="D492" s="3" t="s">
        <v>787</v>
      </c>
    </row>
    <row r="493">
      <c r="A493" s="1" t="s">
        <v>633</v>
      </c>
      <c r="B493" s="1" t="s">
        <v>86</v>
      </c>
      <c r="D493" s="3" t="s">
        <v>788</v>
      </c>
    </row>
    <row r="494">
      <c r="A494" s="1" t="s">
        <v>633</v>
      </c>
      <c r="B494" s="1" t="s">
        <v>77</v>
      </c>
      <c r="D494" s="3" t="s">
        <v>789</v>
      </c>
    </row>
    <row r="495">
      <c r="A495" s="1" t="s">
        <v>633</v>
      </c>
      <c r="B495" s="1" t="s">
        <v>103</v>
      </c>
      <c r="D495" s="3" t="s">
        <v>790</v>
      </c>
    </row>
    <row r="496">
      <c r="A496" s="1" t="s">
        <v>633</v>
      </c>
      <c r="B496" s="1" t="s">
        <v>152</v>
      </c>
      <c r="D496" s="3" t="s">
        <v>791</v>
      </c>
    </row>
    <row r="497">
      <c r="A497" s="1" t="s">
        <v>633</v>
      </c>
      <c r="B497" s="1" t="s">
        <v>160</v>
      </c>
      <c r="D497" s="3" t="s">
        <v>792</v>
      </c>
    </row>
    <row r="498">
      <c r="A498" s="1" t="s">
        <v>633</v>
      </c>
      <c r="B498" s="1" t="s">
        <v>150</v>
      </c>
      <c r="D498" s="3" t="s">
        <v>793</v>
      </c>
    </row>
    <row r="499">
      <c r="A499" s="1" t="s">
        <v>633</v>
      </c>
      <c r="B499" s="1" t="s">
        <v>177</v>
      </c>
      <c r="D499" s="3" t="s">
        <v>794</v>
      </c>
    </row>
    <row r="500">
      <c r="A500" s="1" t="s">
        <v>633</v>
      </c>
      <c r="B500" s="1" t="s">
        <v>185</v>
      </c>
      <c r="D500" s="3" t="s">
        <v>795</v>
      </c>
    </row>
    <row r="501">
      <c r="A501" s="1" t="s">
        <v>633</v>
      </c>
      <c r="B501" s="1" t="s">
        <v>1</v>
      </c>
      <c r="D501" s="3" t="s">
        <v>796</v>
      </c>
    </row>
    <row r="502">
      <c r="A502" s="1" t="s">
        <v>633</v>
      </c>
      <c r="B502" s="1" t="s">
        <v>75</v>
      </c>
      <c r="D502" s="3" t="s">
        <v>797</v>
      </c>
    </row>
    <row r="503">
      <c r="A503" s="1" t="s">
        <v>633</v>
      </c>
      <c r="B503" s="1" t="s">
        <v>86</v>
      </c>
      <c r="D503" s="3" t="s">
        <v>798</v>
      </c>
    </row>
    <row r="504">
      <c r="A504" s="1" t="s">
        <v>633</v>
      </c>
      <c r="B504" s="1" t="s">
        <v>77</v>
      </c>
      <c r="D504" s="3" t="s">
        <v>799</v>
      </c>
    </row>
    <row r="505">
      <c r="A505" s="1" t="s">
        <v>633</v>
      </c>
      <c r="B505" s="1" t="s">
        <v>103</v>
      </c>
      <c r="D505" s="3" t="s">
        <v>800</v>
      </c>
    </row>
    <row r="506">
      <c r="A506" s="1" t="s">
        <v>633</v>
      </c>
      <c r="B506" s="1" t="s">
        <v>142</v>
      </c>
      <c r="D506" s="3" t="s">
        <v>801</v>
      </c>
    </row>
    <row r="507">
      <c r="A507" s="1" t="s">
        <v>633</v>
      </c>
      <c r="B507" s="1" t="s">
        <v>160</v>
      </c>
      <c r="D507" s="3" t="s">
        <v>802</v>
      </c>
    </row>
    <row r="508">
      <c r="A508" s="1" t="s">
        <v>633</v>
      </c>
      <c r="B508" s="1" t="s">
        <v>150</v>
      </c>
      <c r="D508" s="3" t="s">
        <v>803</v>
      </c>
    </row>
    <row r="509">
      <c r="A509" s="1" t="s">
        <v>633</v>
      </c>
      <c r="B509" s="1" t="s">
        <v>177</v>
      </c>
      <c r="D509" s="3" t="s">
        <v>804</v>
      </c>
    </row>
    <row r="510">
      <c r="A510" s="1" t="s">
        <v>633</v>
      </c>
      <c r="B510" s="1" t="s">
        <v>200</v>
      </c>
      <c r="D510" s="3" t="s">
        <v>805</v>
      </c>
    </row>
    <row r="511">
      <c r="A511" s="1" t="s">
        <v>633</v>
      </c>
      <c r="B511" s="1" t="s">
        <v>217</v>
      </c>
      <c r="D511" s="3" t="s">
        <v>806</v>
      </c>
    </row>
    <row r="512">
      <c r="A512" s="1" t="s">
        <v>633</v>
      </c>
      <c r="B512" s="1" t="s">
        <v>225</v>
      </c>
      <c r="D512" s="3" t="s">
        <v>807</v>
      </c>
    </row>
    <row r="513">
      <c r="A513" s="1" t="s">
        <v>633</v>
      </c>
      <c r="B513" s="1" t="s">
        <v>234</v>
      </c>
      <c r="D513" s="3" t="s">
        <v>808</v>
      </c>
    </row>
    <row r="514">
      <c r="A514" s="1" t="s">
        <v>633</v>
      </c>
      <c r="B514" s="1" t="s">
        <v>1</v>
      </c>
      <c r="D514" s="3" t="s">
        <v>809</v>
      </c>
    </row>
    <row r="515">
      <c r="A515" s="1" t="s">
        <v>633</v>
      </c>
      <c r="B515" s="1" t="s">
        <v>86</v>
      </c>
      <c r="D515" s="3" t="s">
        <v>810</v>
      </c>
    </row>
    <row r="516">
      <c r="A516" s="1" t="s">
        <v>633</v>
      </c>
      <c r="B516" s="1" t="s">
        <v>77</v>
      </c>
      <c r="D516" s="3" t="s">
        <v>811</v>
      </c>
    </row>
    <row r="517">
      <c r="A517" s="1" t="s">
        <v>633</v>
      </c>
      <c r="B517" s="1" t="s">
        <v>103</v>
      </c>
      <c r="D517" s="3" t="s">
        <v>812</v>
      </c>
    </row>
    <row r="518">
      <c r="A518" s="1" t="s">
        <v>633</v>
      </c>
      <c r="B518" s="1" t="s">
        <v>111</v>
      </c>
      <c r="D518" s="3" t="s">
        <v>813</v>
      </c>
    </row>
    <row r="519">
      <c r="A519" s="1" t="s">
        <v>633</v>
      </c>
      <c r="B519" s="1" t="s">
        <v>101</v>
      </c>
      <c r="D519" s="3" t="s">
        <v>814</v>
      </c>
    </row>
    <row r="520">
      <c r="A520" s="1" t="s">
        <v>633</v>
      </c>
      <c r="B520" s="1" t="s">
        <v>202</v>
      </c>
      <c r="D520" s="3" t="s">
        <v>815</v>
      </c>
    </row>
    <row r="521">
      <c r="A521" s="1" t="s">
        <v>633</v>
      </c>
      <c r="B521" s="1" t="s">
        <v>200</v>
      </c>
      <c r="D521" s="3" t="s">
        <v>816</v>
      </c>
    </row>
    <row r="522">
      <c r="A522" s="1" t="s">
        <v>633</v>
      </c>
      <c r="B522" s="1" t="s">
        <v>217</v>
      </c>
      <c r="D522" s="3" t="s">
        <v>817</v>
      </c>
    </row>
    <row r="523">
      <c r="A523" s="1" t="s">
        <v>633</v>
      </c>
      <c r="B523" s="1" t="s">
        <v>225</v>
      </c>
      <c r="D523" s="3" t="s">
        <v>818</v>
      </c>
    </row>
    <row r="524">
      <c r="A524" s="1" t="s">
        <v>633</v>
      </c>
      <c r="B524" s="1" t="s">
        <v>234</v>
      </c>
      <c r="D524" s="3" t="s">
        <v>819</v>
      </c>
    </row>
    <row r="525">
      <c r="A525" s="1" t="s">
        <v>633</v>
      </c>
      <c r="B525" s="1" t="s">
        <v>77</v>
      </c>
      <c r="D525" s="3" t="s">
        <v>820</v>
      </c>
    </row>
    <row r="526">
      <c r="A526" s="1" t="s">
        <v>633</v>
      </c>
      <c r="B526" s="1" t="s">
        <v>103</v>
      </c>
      <c r="D526" s="3" t="s">
        <v>821</v>
      </c>
    </row>
    <row r="527">
      <c r="A527" s="1" t="s">
        <v>633</v>
      </c>
      <c r="B527" s="1" t="s">
        <v>111</v>
      </c>
      <c r="D527" s="3" t="s">
        <v>822</v>
      </c>
    </row>
    <row r="528">
      <c r="A528" s="1" t="s">
        <v>633</v>
      </c>
      <c r="B528" s="1" t="s">
        <v>101</v>
      </c>
      <c r="D528" s="3" t="s">
        <v>823</v>
      </c>
    </row>
    <row r="529">
      <c r="A529" s="1" t="s">
        <v>633</v>
      </c>
      <c r="B529" s="1" t="s">
        <v>126</v>
      </c>
      <c r="D529" s="3" t="s">
        <v>824</v>
      </c>
    </row>
  </sheetData>
  <hyperlinks>
    <hyperlink r:id="rId4" ref="D1"/>
    <hyperlink r:id="rId5" ref="D2"/>
    <hyperlink r:id="rId6" ref="D3"/>
    <hyperlink r:id="rId7" ref="D4"/>
    <hyperlink r:id="rId8" ref="D5"/>
    <hyperlink r:id="rId9" ref="D6"/>
    <hyperlink r:id="rId10" ref="D7"/>
    <hyperlink r:id="rId11" ref="D8"/>
    <hyperlink r:id="rId12" ref="D9"/>
    <hyperlink r:id="rId13" ref="D10"/>
    <hyperlink r:id="rId14" ref="D11"/>
    <hyperlink r:id="rId15" ref="D12"/>
    <hyperlink r:id="rId16" ref="D13"/>
    <hyperlink r:id="rId17" ref="D14"/>
    <hyperlink r:id="rId18" ref="D15"/>
    <hyperlink r:id="rId19" ref="D16"/>
    <hyperlink r:id="rId20" ref="D17"/>
    <hyperlink r:id="rId21" ref="D18"/>
    <hyperlink r:id="rId22" ref="D19"/>
    <hyperlink r:id="rId23" ref="D20"/>
    <hyperlink r:id="rId24" ref="D21"/>
    <hyperlink r:id="rId25" ref="D22"/>
    <hyperlink r:id="rId26" ref="D23"/>
    <hyperlink r:id="rId27" ref="D24"/>
    <hyperlink r:id="rId28" ref="D25"/>
    <hyperlink r:id="rId29" ref="D26"/>
    <hyperlink r:id="rId30" ref="D27"/>
    <hyperlink r:id="rId31" ref="D28"/>
    <hyperlink r:id="rId32" ref="D29"/>
    <hyperlink r:id="rId33" ref="D30"/>
    <hyperlink r:id="rId34" ref="D31"/>
    <hyperlink r:id="rId35" ref="D32"/>
    <hyperlink r:id="rId36" location="gid=0" ref="D33"/>
    <hyperlink r:id="rId37" location="gid=1153714324" ref="D34"/>
    <hyperlink r:id="rId38" location="gid=671564452" ref="D35"/>
    <hyperlink r:id="rId39" location="gid=1710575977" ref="D36"/>
    <hyperlink r:id="rId40" location="gid=956835089" ref="D37"/>
    <hyperlink r:id="rId41" ref="D38"/>
    <hyperlink r:id="rId42" ref="D39"/>
    <hyperlink r:id="rId43" ref="D40"/>
    <hyperlink r:id="rId44" ref="D41"/>
    <hyperlink r:id="rId45" ref="D42"/>
    <hyperlink r:id="rId46" ref="D43"/>
    <hyperlink r:id="rId47" ref="D44"/>
    <hyperlink r:id="rId48" ref="D45"/>
    <hyperlink r:id="rId49" ref="D46"/>
    <hyperlink r:id="rId50" ref="D47"/>
    <hyperlink r:id="rId51" ref="D48"/>
    <hyperlink r:id="rId52" ref="D49"/>
    <hyperlink r:id="rId53" ref="D50"/>
    <hyperlink r:id="rId54" ref="D51"/>
    <hyperlink r:id="rId55" ref="D52"/>
    <hyperlink r:id="rId56" ref="D53"/>
    <hyperlink r:id="rId57" ref="D54"/>
    <hyperlink r:id="rId58" ref="D55"/>
    <hyperlink r:id="rId59" ref="D56"/>
    <hyperlink r:id="rId60" ref="D57"/>
    <hyperlink r:id="rId61" ref="D58"/>
    <hyperlink r:id="rId62" ref="D59"/>
    <hyperlink r:id="rId63" ref="D60"/>
    <hyperlink r:id="rId64" ref="D61"/>
    <hyperlink r:id="rId65" ref="D62"/>
    <hyperlink r:id="rId66" ref="D63"/>
    <hyperlink r:id="rId67" ref="D64"/>
    <hyperlink r:id="rId68" ref="D65"/>
    <hyperlink r:id="rId69" ref="D66"/>
    <hyperlink r:id="rId70" ref="D67"/>
    <hyperlink r:id="rId71" ref="D68"/>
    <hyperlink r:id="rId72" ref="D69"/>
    <hyperlink r:id="rId73" ref="D70"/>
    <hyperlink r:id="rId74" ref="D71"/>
    <hyperlink r:id="rId75" ref="D72"/>
    <hyperlink r:id="rId76" ref="D73"/>
    <hyperlink r:id="rId77" ref="D74"/>
    <hyperlink r:id="rId78" ref="D75"/>
    <hyperlink r:id="rId79" ref="D76"/>
    <hyperlink r:id="rId80" ref="D77"/>
    <hyperlink r:id="rId81" ref="D78"/>
    <hyperlink r:id="rId82" ref="D79"/>
    <hyperlink r:id="rId83" ref="D80"/>
    <hyperlink r:id="rId84" ref="D81"/>
    <hyperlink r:id="rId85" ref="D82"/>
    <hyperlink r:id="rId86" ref="D83"/>
    <hyperlink r:id="rId87" ref="D84"/>
    <hyperlink r:id="rId88" ref="D85"/>
    <hyperlink r:id="rId89" ref="D86"/>
    <hyperlink r:id="rId90" ref="D87"/>
    <hyperlink r:id="rId91" ref="D88"/>
    <hyperlink r:id="rId92" ref="D89"/>
    <hyperlink r:id="rId93" ref="D90"/>
    <hyperlink r:id="rId94" ref="D91"/>
    <hyperlink r:id="rId95" ref="D92"/>
    <hyperlink r:id="rId96" ref="D93"/>
    <hyperlink r:id="rId97" ref="D94"/>
    <hyperlink r:id="rId98" ref="D95"/>
    <hyperlink r:id="rId99" ref="D96"/>
    <hyperlink r:id="rId100" ref="D97"/>
    <hyperlink r:id="rId101" ref="D98"/>
    <hyperlink r:id="rId102" ref="D99"/>
    <hyperlink r:id="rId103" ref="D100"/>
    <hyperlink r:id="rId104" ref="D101"/>
    <hyperlink r:id="rId105" ref="D102"/>
    <hyperlink r:id="rId106" ref="D103"/>
    <hyperlink r:id="rId107" ref="D104"/>
    <hyperlink r:id="rId108" ref="D105"/>
    <hyperlink r:id="rId109" ref="D106"/>
    <hyperlink r:id="rId110" ref="D107"/>
    <hyperlink r:id="rId111" ref="D108"/>
    <hyperlink r:id="rId112" ref="D109"/>
    <hyperlink r:id="rId113" ref="D110"/>
    <hyperlink r:id="rId114" ref="D111"/>
    <hyperlink r:id="rId115" ref="D112"/>
    <hyperlink r:id="rId116" ref="D113"/>
    <hyperlink r:id="rId117" ref="D114"/>
    <hyperlink r:id="rId118" ref="D115"/>
    <hyperlink r:id="rId119" ref="D116"/>
    <hyperlink r:id="rId120" ref="D117"/>
    <hyperlink r:id="rId121" ref="D118"/>
    <hyperlink r:id="rId122" ref="D119"/>
    <hyperlink r:id="rId123" ref="D120"/>
    <hyperlink r:id="rId124" ref="D121"/>
    <hyperlink r:id="rId125" ref="D122"/>
    <hyperlink r:id="rId126" ref="D123"/>
    <hyperlink r:id="rId127" ref="D124"/>
    <hyperlink r:id="rId128" ref="D125"/>
    <hyperlink r:id="rId129" ref="D126"/>
    <hyperlink r:id="rId130" ref="D127"/>
    <hyperlink r:id="rId131" ref="D128"/>
    <hyperlink r:id="rId132" ref="D129"/>
    <hyperlink r:id="rId133" ref="D130"/>
    <hyperlink r:id="rId134" ref="D131"/>
    <hyperlink r:id="rId135" ref="D132"/>
    <hyperlink r:id="rId136" ref="D133"/>
    <hyperlink r:id="rId137" ref="D134"/>
    <hyperlink r:id="rId138" ref="D135"/>
    <hyperlink r:id="rId139" ref="D136"/>
    <hyperlink r:id="rId140" ref="D137"/>
    <hyperlink r:id="rId141" ref="D138"/>
    <hyperlink r:id="rId142" ref="D139"/>
    <hyperlink r:id="rId143" ref="D140"/>
    <hyperlink r:id="rId144" ref="D141"/>
    <hyperlink r:id="rId145" ref="D142"/>
    <hyperlink r:id="rId146" ref="D143"/>
    <hyperlink r:id="rId147" ref="D144"/>
    <hyperlink r:id="rId148" ref="D145"/>
    <hyperlink r:id="rId149" ref="D146"/>
    <hyperlink r:id="rId150" ref="D147"/>
    <hyperlink r:id="rId151" ref="D148"/>
    <hyperlink r:id="rId152" ref="D149"/>
    <hyperlink r:id="rId153" ref="D150"/>
    <hyperlink r:id="rId154" ref="D151"/>
    <hyperlink r:id="rId155" ref="D152"/>
    <hyperlink r:id="rId156" ref="D153"/>
    <hyperlink r:id="rId157" ref="D154"/>
    <hyperlink r:id="rId158" ref="D155"/>
    <hyperlink r:id="rId159" ref="D156"/>
    <hyperlink r:id="rId160" ref="D157"/>
    <hyperlink r:id="rId161" ref="D158"/>
    <hyperlink r:id="rId162" ref="D159"/>
    <hyperlink r:id="rId163" ref="D160"/>
    <hyperlink r:id="rId164" ref="D161"/>
    <hyperlink r:id="rId165" ref="D162"/>
    <hyperlink r:id="rId166" ref="D163"/>
    <hyperlink r:id="rId167" ref="D164"/>
    <hyperlink r:id="rId168" ref="D165"/>
    <hyperlink r:id="rId169" ref="D166"/>
    <hyperlink r:id="rId170" ref="D167"/>
    <hyperlink r:id="rId171" ref="D168"/>
    <hyperlink r:id="rId172" ref="D169"/>
    <hyperlink r:id="rId173" ref="D170"/>
    <hyperlink r:id="rId174" ref="D171"/>
    <hyperlink r:id="rId175" ref="D172"/>
    <hyperlink r:id="rId176" ref="D173"/>
    <hyperlink r:id="rId177" ref="D174"/>
    <hyperlink r:id="rId178" ref="D175"/>
    <hyperlink r:id="rId179" ref="D176"/>
    <hyperlink r:id="rId180" ref="D177"/>
    <hyperlink r:id="rId181" ref="D178"/>
    <hyperlink r:id="rId182" ref="D179"/>
    <hyperlink r:id="rId183" ref="D180"/>
    <hyperlink r:id="rId184" ref="D181"/>
    <hyperlink r:id="rId185" ref="D182"/>
    <hyperlink r:id="rId186" ref="D183"/>
    <hyperlink r:id="rId187" ref="D184"/>
    <hyperlink r:id="rId188" ref="D185"/>
    <hyperlink r:id="rId189" ref="D186"/>
    <hyperlink r:id="rId190" ref="D187"/>
    <hyperlink r:id="rId191" ref="D188"/>
    <hyperlink r:id="rId192" ref="D189"/>
    <hyperlink r:id="rId193" ref="D190"/>
    <hyperlink r:id="rId194" ref="D191"/>
    <hyperlink r:id="rId195" ref="D192"/>
    <hyperlink r:id="rId196" ref="D193"/>
    <hyperlink r:id="rId197" ref="D194"/>
    <hyperlink r:id="rId198" ref="D195"/>
    <hyperlink r:id="rId199" ref="D196"/>
    <hyperlink r:id="rId200" ref="D197"/>
    <hyperlink r:id="rId201" ref="D198"/>
    <hyperlink r:id="rId202" ref="D199"/>
    <hyperlink r:id="rId203" ref="D200"/>
    <hyperlink r:id="rId204" ref="D201"/>
    <hyperlink r:id="rId205" ref="D202"/>
    <hyperlink r:id="rId206" ref="D203"/>
    <hyperlink r:id="rId207" ref="D204"/>
    <hyperlink r:id="rId208" ref="D205"/>
    <hyperlink r:id="rId209" ref="D206"/>
    <hyperlink r:id="rId210" ref="D207"/>
    <hyperlink r:id="rId211" ref="D208"/>
    <hyperlink r:id="rId212" ref="D209"/>
    <hyperlink r:id="rId213" ref="D210"/>
    <hyperlink r:id="rId214" ref="D211"/>
    <hyperlink r:id="rId215" ref="D212"/>
    <hyperlink r:id="rId216" ref="D213"/>
    <hyperlink r:id="rId217" ref="D214"/>
    <hyperlink r:id="rId218" ref="D215"/>
    <hyperlink r:id="rId219" ref="D216"/>
    <hyperlink r:id="rId220" ref="D217"/>
    <hyperlink r:id="rId221" ref="D218"/>
    <hyperlink r:id="rId222" ref="D219"/>
    <hyperlink r:id="rId223" ref="D220"/>
    <hyperlink r:id="rId224" ref="D221"/>
    <hyperlink r:id="rId225" ref="D222"/>
    <hyperlink r:id="rId226" ref="D223"/>
    <hyperlink r:id="rId227" ref="D224"/>
    <hyperlink r:id="rId228" ref="D225"/>
    <hyperlink r:id="rId229" ref="D226"/>
    <hyperlink r:id="rId230" ref="D227"/>
    <hyperlink r:id="rId231" ref="D228"/>
    <hyperlink r:id="rId232" ref="D229"/>
    <hyperlink r:id="rId233" ref="D230"/>
    <hyperlink r:id="rId234" ref="D231"/>
    <hyperlink r:id="rId235" ref="D232"/>
    <hyperlink r:id="rId236" ref="D233"/>
    <hyperlink r:id="rId237" ref="D234"/>
    <hyperlink r:id="rId238" ref="D235"/>
    <hyperlink r:id="rId239" ref="D236"/>
    <hyperlink r:id="rId240" ref="D237"/>
    <hyperlink r:id="rId241" ref="D238"/>
    <hyperlink r:id="rId242" ref="D239"/>
    <hyperlink r:id="rId243" ref="D240"/>
    <hyperlink r:id="rId244" ref="D241"/>
    <hyperlink r:id="rId245" ref="D242"/>
    <hyperlink r:id="rId246" ref="D243"/>
    <hyperlink r:id="rId247" ref="D244"/>
    <hyperlink r:id="rId248" ref="D245"/>
    <hyperlink r:id="rId249" ref="D246"/>
    <hyperlink r:id="rId250" ref="D247"/>
    <hyperlink r:id="rId251" ref="D248"/>
    <hyperlink r:id="rId252" ref="D249"/>
    <hyperlink r:id="rId253" ref="D250"/>
    <hyperlink r:id="rId254" ref="D251"/>
    <hyperlink r:id="rId255" ref="D252"/>
    <hyperlink r:id="rId256" ref="D253"/>
    <hyperlink r:id="rId257" ref="D254"/>
    <hyperlink r:id="rId258" ref="D255"/>
    <hyperlink r:id="rId259" ref="D256"/>
    <hyperlink r:id="rId260" ref="D257"/>
    <hyperlink r:id="rId261" ref="D258"/>
    <hyperlink r:id="rId262" ref="D259"/>
    <hyperlink r:id="rId263" ref="D260"/>
    <hyperlink r:id="rId264" ref="D261"/>
    <hyperlink r:id="rId265" ref="D262"/>
    <hyperlink r:id="rId266" ref="D263"/>
    <hyperlink r:id="rId267" ref="D264"/>
    <hyperlink r:id="rId268" ref="D265"/>
    <hyperlink r:id="rId269" ref="D266"/>
    <hyperlink r:id="rId270" ref="D267"/>
    <hyperlink r:id="rId271" ref="D268"/>
    <hyperlink r:id="rId272" ref="D269"/>
    <hyperlink r:id="rId273" ref="D270"/>
    <hyperlink r:id="rId274" ref="D271"/>
    <hyperlink r:id="rId275" ref="D272"/>
    <hyperlink r:id="rId276" ref="D273"/>
    <hyperlink r:id="rId277" ref="D274"/>
    <hyperlink r:id="rId278" ref="D275"/>
    <hyperlink r:id="rId279" ref="D276"/>
    <hyperlink r:id="rId280" ref="D277"/>
    <hyperlink r:id="rId281" ref="D278"/>
    <hyperlink r:id="rId282" ref="D279"/>
    <hyperlink r:id="rId283" ref="D280"/>
    <hyperlink r:id="rId284" ref="D281"/>
    <hyperlink r:id="rId285" ref="D282"/>
    <hyperlink r:id="rId286" ref="D283"/>
    <hyperlink r:id="rId287" ref="D284"/>
    <hyperlink r:id="rId288" ref="D285"/>
    <hyperlink r:id="rId289" ref="D286"/>
    <hyperlink r:id="rId290" ref="D287"/>
    <hyperlink r:id="rId291" ref="D288"/>
    <hyperlink r:id="rId292" ref="D289"/>
    <hyperlink r:id="rId293" ref="D290"/>
    <hyperlink r:id="rId294" ref="D291"/>
    <hyperlink r:id="rId295" ref="D292"/>
    <hyperlink r:id="rId296" ref="D293"/>
    <hyperlink r:id="rId297" ref="D294"/>
    <hyperlink r:id="rId298" ref="D295"/>
    <hyperlink r:id="rId299" ref="D296"/>
    <hyperlink r:id="rId300" ref="D297"/>
    <hyperlink r:id="rId301" ref="D298"/>
    <hyperlink r:id="rId302" ref="D299"/>
    <hyperlink r:id="rId303" ref="D300"/>
    <hyperlink r:id="rId304" ref="D301"/>
    <hyperlink r:id="rId305" ref="D302"/>
    <hyperlink r:id="rId306" ref="D303"/>
    <hyperlink r:id="rId307" ref="D304"/>
    <hyperlink r:id="rId308" ref="D305"/>
    <hyperlink r:id="rId309" ref="D306"/>
    <hyperlink r:id="rId310" ref="D307"/>
    <hyperlink r:id="rId311" ref="D308"/>
    <hyperlink r:id="rId312" ref="D309"/>
    <hyperlink r:id="rId313" ref="D310"/>
    <hyperlink r:id="rId314" ref="D311"/>
    <hyperlink r:id="rId315" ref="D312"/>
    <hyperlink r:id="rId316" ref="D313"/>
    <hyperlink r:id="rId317" ref="D314"/>
    <hyperlink r:id="rId318" ref="D315"/>
    <hyperlink r:id="rId319" ref="D316"/>
    <hyperlink r:id="rId320" ref="D317"/>
    <hyperlink r:id="rId321" ref="D318"/>
    <hyperlink r:id="rId322" ref="D319"/>
    <hyperlink r:id="rId323" ref="D320"/>
    <hyperlink r:id="rId324" ref="D321"/>
    <hyperlink r:id="rId325" ref="D322"/>
    <hyperlink r:id="rId326" ref="D323"/>
    <hyperlink r:id="rId327" ref="D324"/>
    <hyperlink r:id="rId328" ref="D325"/>
    <hyperlink r:id="rId329" ref="D326"/>
    <hyperlink r:id="rId330" ref="D327"/>
    <hyperlink r:id="rId331" ref="D328"/>
    <hyperlink r:id="rId332" ref="D329"/>
    <hyperlink r:id="rId333" ref="D330"/>
    <hyperlink r:id="rId334" ref="D331"/>
    <hyperlink r:id="rId335" ref="D332"/>
    <hyperlink r:id="rId336" ref="D333"/>
    <hyperlink r:id="rId337" ref="D334"/>
    <hyperlink r:id="rId338" ref="D335"/>
    <hyperlink r:id="rId339" ref="D336"/>
    <hyperlink r:id="rId340" ref="D337"/>
    <hyperlink r:id="rId341" ref="D338"/>
    <hyperlink r:id="rId342" ref="D339"/>
    <hyperlink r:id="rId343" ref="D340"/>
    <hyperlink r:id="rId344" ref="D341"/>
    <hyperlink r:id="rId345" ref="D342"/>
    <hyperlink r:id="rId346" ref="D343"/>
    <hyperlink r:id="rId347" ref="D344"/>
    <hyperlink r:id="rId348" ref="D345"/>
    <hyperlink r:id="rId349" ref="D346"/>
    <hyperlink r:id="rId350" ref="D347"/>
    <hyperlink r:id="rId351" ref="D348"/>
    <hyperlink r:id="rId352" ref="D349"/>
    <hyperlink r:id="rId353" ref="D350"/>
    <hyperlink r:id="rId354" ref="D351"/>
    <hyperlink r:id="rId355" ref="D352"/>
    <hyperlink r:id="rId356" ref="D353"/>
    <hyperlink r:id="rId357" ref="D354"/>
    <hyperlink r:id="rId358" ref="D355"/>
    <hyperlink r:id="rId359" ref="D356"/>
    <hyperlink r:id="rId360" ref="D357"/>
    <hyperlink r:id="rId361" ref="D358"/>
    <hyperlink r:id="rId362" ref="D359"/>
    <hyperlink r:id="rId363" ref="D360"/>
    <hyperlink r:id="rId364" ref="D361"/>
    <hyperlink r:id="rId365" ref="D362"/>
    <hyperlink r:id="rId366" ref="D363"/>
    <hyperlink r:id="rId367" ref="D364"/>
    <hyperlink r:id="rId368" ref="D365"/>
    <hyperlink r:id="rId369" ref="D366"/>
    <hyperlink r:id="rId370" ref="D367"/>
    <hyperlink r:id="rId371" ref="D368"/>
    <hyperlink r:id="rId372" ref="D369"/>
    <hyperlink r:id="rId373" ref="D370"/>
    <hyperlink r:id="rId374" ref="D371"/>
    <hyperlink r:id="rId375" ref="D372"/>
    <hyperlink r:id="rId376" ref="D373"/>
    <hyperlink r:id="rId377" ref="D374"/>
    <hyperlink r:id="rId378" ref="D375"/>
    <hyperlink r:id="rId379" ref="D376"/>
    <hyperlink r:id="rId380" ref="D377"/>
    <hyperlink r:id="rId381" ref="D378"/>
    <hyperlink r:id="rId382" ref="D379"/>
    <hyperlink r:id="rId383" ref="D380"/>
    <hyperlink r:id="rId384" ref="D381"/>
    <hyperlink r:id="rId385" ref="D382"/>
    <hyperlink r:id="rId386" ref="D383"/>
    <hyperlink r:id="rId387" ref="D384"/>
    <hyperlink r:id="rId388" ref="D385"/>
    <hyperlink r:id="rId389" ref="D386"/>
    <hyperlink r:id="rId390" ref="D387"/>
    <hyperlink r:id="rId391" ref="D388"/>
    <hyperlink r:id="rId392" ref="D389"/>
    <hyperlink r:id="rId393" ref="D390"/>
    <hyperlink r:id="rId394" ref="D391"/>
    <hyperlink r:id="rId395" ref="D392"/>
    <hyperlink r:id="rId396" ref="D393"/>
    <hyperlink r:id="rId397" ref="D394"/>
    <hyperlink r:id="rId398" ref="D395"/>
    <hyperlink r:id="rId399" ref="D396"/>
    <hyperlink r:id="rId400" ref="D397"/>
    <hyperlink r:id="rId401" ref="D398"/>
    <hyperlink r:id="rId402" ref="D399"/>
    <hyperlink r:id="rId403" ref="D400"/>
    <hyperlink r:id="rId404" ref="D401"/>
    <hyperlink r:id="rId405" ref="D402"/>
    <hyperlink r:id="rId406" ref="D403"/>
    <hyperlink r:id="rId407" ref="D404"/>
    <hyperlink r:id="rId408" ref="D405"/>
    <hyperlink r:id="rId409" ref="D406"/>
    <hyperlink r:id="rId410" ref="D407"/>
    <hyperlink r:id="rId411" ref="D408"/>
    <hyperlink r:id="rId412" ref="D409"/>
    <hyperlink r:id="rId413" ref="D410"/>
    <hyperlink r:id="rId414" ref="D411"/>
    <hyperlink r:id="rId415" ref="D412"/>
    <hyperlink r:id="rId416" ref="D413"/>
    <hyperlink r:id="rId417" ref="D414"/>
    <hyperlink r:id="rId418" ref="D415"/>
    <hyperlink r:id="rId419" ref="D416"/>
    <hyperlink r:id="rId420" ref="D417"/>
    <hyperlink r:id="rId421" ref="D418"/>
    <hyperlink r:id="rId422" ref="D419"/>
    <hyperlink r:id="rId423" ref="D420"/>
    <hyperlink r:id="rId424" ref="D421"/>
    <hyperlink r:id="rId425" ref="D422"/>
    <hyperlink r:id="rId426" ref="D423"/>
    <hyperlink r:id="rId427" ref="D424"/>
    <hyperlink r:id="rId428" ref="D425"/>
    <hyperlink r:id="rId429" ref="D426"/>
    <hyperlink r:id="rId430" ref="D427"/>
    <hyperlink r:id="rId431" ref="D428"/>
    <hyperlink r:id="rId432" ref="D429"/>
    <hyperlink r:id="rId433" ref="D430"/>
    <hyperlink r:id="rId434" ref="D431"/>
    <hyperlink r:id="rId435" ref="D432"/>
    <hyperlink r:id="rId436" ref="D433"/>
    <hyperlink r:id="rId437" ref="D434"/>
    <hyperlink r:id="rId438" ref="D435"/>
    <hyperlink r:id="rId439" ref="D436"/>
    <hyperlink r:id="rId440" ref="D437"/>
    <hyperlink r:id="rId441" ref="D438"/>
    <hyperlink r:id="rId442" ref="D439"/>
    <hyperlink r:id="rId443" ref="D440"/>
    <hyperlink r:id="rId444" ref="D441"/>
    <hyperlink r:id="rId445" ref="D442"/>
    <hyperlink r:id="rId446" ref="D443"/>
    <hyperlink r:id="rId447" ref="D444"/>
    <hyperlink r:id="rId448" ref="D445"/>
    <hyperlink r:id="rId449" ref="D446"/>
    <hyperlink r:id="rId450" ref="D447"/>
    <hyperlink r:id="rId451" ref="D448"/>
    <hyperlink r:id="rId452" ref="D449"/>
    <hyperlink r:id="rId453" ref="D450"/>
    <hyperlink r:id="rId454" ref="D451"/>
    <hyperlink r:id="rId455" ref="D452"/>
    <hyperlink r:id="rId456" ref="D453"/>
    <hyperlink r:id="rId457" ref="D454"/>
    <hyperlink r:id="rId458" ref="D455"/>
    <hyperlink r:id="rId459" ref="D456"/>
    <hyperlink r:id="rId460" ref="D457"/>
    <hyperlink r:id="rId461" ref="D458"/>
    <hyperlink r:id="rId462" ref="D459"/>
    <hyperlink r:id="rId463" ref="D460"/>
    <hyperlink r:id="rId464" ref="D461"/>
    <hyperlink r:id="rId465" ref="D462"/>
    <hyperlink r:id="rId466" ref="D463"/>
    <hyperlink r:id="rId467" ref="D464"/>
    <hyperlink r:id="rId468" ref="D465"/>
    <hyperlink r:id="rId469" ref="D466"/>
    <hyperlink r:id="rId470" ref="D467"/>
    <hyperlink r:id="rId471" ref="D468"/>
    <hyperlink r:id="rId472" ref="D469"/>
    <hyperlink r:id="rId473" ref="D470"/>
    <hyperlink r:id="rId474" ref="D471"/>
    <hyperlink r:id="rId475" ref="D472"/>
    <hyperlink r:id="rId476" ref="D473"/>
    <hyperlink r:id="rId477" ref="D474"/>
    <hyperlink r:id="rId478" ref="D475"/>
    <hyperlink r:id="rId479" ref="D476"/>
    <hyperlink r:id="rId480" ref="D477"/>
    <hyperlink r:id="rId481" ref="D478"/>
    <hyperlink r:id="rId482" ref="D479"/>
    <hyperlink r:id="rId483" ref="D480"/>
    <hyperlink r:id="rId484" ref="D481"/>
    <hyperlink r:id="rId485" ref="D482"/>
    <hyperlink r:id="rId486" ref="D483"/>
    <hyperlink r:id="rId487" ref="D484"/>
    <hyperlink r:id="rId488" ref="D485"/>
    <hyperlink r:id="rId489" ref="D486"/>
    <hyperlink r:id="rId490" ref="D487"/>
    <hyperlink r:id="rId491" ref="D488"/>
    <hyperlink r:id="rId492" ref="D489"/>
    <hyperlink r:id="rId493" ref="D490"/>
    <hyperlink r:id="rId494" ref="D491"/>
    <hyperlink r:id="rId495" ref="D492"/>
    <hyperlink r:id="rId496" ref="D493"/>
    <hyperlink r:id="rId497" ref="D494"/>
    <hyperlink r:id="rId498" ref="D495"/>
    <hyperlink r:id="rId499" ref="D496"/>
    <hyperlink r:id="rId500" ref="D497"/>
    <hyperlink r:id="rId501" ref="D498"/>
    <hyperlink r:id="rId502" ref="D499"/>
    <hyperlink r:id="rId503" ref="D500"/>
    <hyperlink r:id="rId504" ref="D501"/>
    <hyperlink r:id="rId505" ref="D502"/>
    <hyperlink r:id="rId506" ref="D503"/>
    <hyperlink r:id="rId507" ref="D504"/>
    <hyperlink r:id="rId508" ref="D505"/>
    <hyperlink r:id="rId509" ref="D506"/>
    <hyperlink r:id="rId510" ref="D507"/>
    <hyperlink r:id="rId511" ref="D508"/>
    <hyperlink r:id="rId512" ref="D509"/>
    <hyperlink r:id="rId513" ref="D510"/>
    <hyperlink r:id="rId514" ref="D511"/>
    <hyperlink r:id="rId515" ref="D512"/>
    <hyperlink r:id="rId516" ref="D513"/>
    <hyperlink r:id="rId517" ref="D514"/>
    <hyperlink r:id="rId518" ref="D515"/>
    <hyperlink r:id="rId519" ref="D516"/>
    <hyperlink r:id="rId520" ref="D517"/>
    <hyperlink r:id="rId521" ref="D518"/>
    <hyperlink r:id="rId522" ref="D519"/>
    <hyperlink r:id="rId523" ref="D520"/>
    <hyperlink r:id="rId524" ref="D521"/>
    <hyperlink r:id="rId525" ref="D522"/>
    <hyperlink r:id="rId526" ref="D523"/>
    <hyperlink r:id="rId527" ref="D524"/>
    <hyperlink r:id="rId528" ref="D525"/>
    <hyperlink r:id="rId529" ref="D526"/>
    <hyperlink r:id="rId530" ref="D527"/>
    <hyperlink r:id="rId531" ref="D528"/>
    <hyperlink r:id="rId532" ref="D529"/>
  </hyperlinks>
  <drawing r:id="rId533"/>
  <legacyDrawing r:id="rId5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825</v>
      </c>
      <c r="B1" s="1" t="s">
        <v>1</v>
      </c>
      <c r="C1" s="2" t="str">
        <f>HYPERLINK("https://sites.google.com/luckyfrogphotos.com/brand-activation-silicon-beach/tech-activation-los-angeles","The Beverly Hills Hotel Event Marketing")</f>
        <v>The Beverly Hills Hotel Event Marketing</v>
      </c>
      <c r="D1" s="3" t="s">
        <v>2</v>
      </c>
    </row>
    <row r="2">
      <c r="A2" s="1" t="s">
        <v>825</v>
      </c>
      <c r="B2" s="1" t="s">
        <v>75</v>
      </c>
      <c r="C2" s="2" t="str">
        <f>HYPERLINK("https://drive.google.com/drive/folders/1ZhAfZq83RHNjhk-uPAXl20T9Sq2mt6Hg?usp=sharing","Waldorf Astoria Beverly Hills Photo")</f>
        <v>Waldorf Astoria Beverly Hills Photo</v>
      </c>
      <c r="D2" s="3" t="s">
        <v>74</v>
      </c>
    </row>
    <row r="3">
      <c r="A3" s="1" t="s">
        <v>825</v>
      </c>
      <c r="B3" s="1" t="s">
        <v>86</v>
      </c>
      <c r="C3" s="2" t="str">
        <f>HYPERLINK("https://drive.google.com/file/d/1X_veMGreiwUGnXFkDv4OwAkCHxQy9faq/view?usp=sharing","The Maybourne Beverly Hills Marketing")</f>
        <v>The Maybourne Beverly Hills Marketing</v>
      </c>
      <c r="D3" s="3" t="s">
        <v>76</v>
      </c>
    </row>
    <row r="4">
      <c r="A4" s="1" t="s">
        <v>825</v>
      </c>
      <c r="B4" s="1" t="s">
        <v>77</v>
      </c>
      <c r="C4" s="2" t="str">
        <f>HYPERLINK("https://drive.google.com/file/d/1qDRezGc6S-GXO1Ums-z58A4tZj8QfUxZ/view?usp=sharing","Chateau Marmont Event Photography")</f>
        <v>Chateau Marmont Event Photography</v>
      </c>
      <c r="D4" s="3" t="s">
        <v>78</v>
      </c>
    </row>
    <row r="5">
      <c r="A5" s="1" t="s">
        <v>825</v>
      </c>
      <c r="B5" s="1" t="s">
        <v>103</v>
      </c>
      <c r="C5" s="2" t="str">
        <f>HYPERLINK("https://drive.google.com/file/d/18vt5PhP25M88bGY6XEV72zenEpaSIp1L/view?usp=sharing","Soho House West Hollywood Marketing")</f>
        <v>Soho House West Hollywood Marketing</v>
      </c>
      <c r="D5" s="3" t="s">
        <v>102</v>
      </c>
    </row>
    <row r="6">
      <c r="A6" s="1" t="s">
        <v>825</v>
      </c>
      <c r="B6" s="1" t="s">
        <v>111</v>
      </c>
      <c r="C6" s="2" t="str">
        <f>HYPERLINK("https://docs.google.com/document/d/1a2RSd_zzJSSIuhu6-HK_jFkuxJXSmihqXO2esmI3tRg/edit?usp=sharing","Greystone Mansion Photo Marketing")</f>
        <v>Greystone Mansion Photo Marketing</v>
      </c>
      <c r="D6" s="3" t="s">
        <v>104</v>
      </c>
    </row>
    <row r="7">
      <c r="A7" s="1" t="s">
        <v>825</v>
      </c>
      <c r="B7" s="1" t="s">
        <v>101</v>
      </c>
      <c r="C7" s="2" t="str">
        <f>HYPERLINK("https://docs.google.com/document/d/1a2RSd_zzJSSIuhu6-HK_jFkuxJXSmihqXO2esmI3tRg/view","The London West Hollywood Photography")</f>
        <v>The London West Hollywood Photography</v>
      </c>
      <c r="D7" s="3" t="s">
        <v>106</v>
      </c>
    </row>
    <row r="8">
      <c r="A8" s="1" t="s">
        <v>825</v>
      </c>
      <c r="B8" s="1" t="s">
        <v>126</v>
      </c>
      <c r="C8" s="2" t="str">
        <f>HYPERLINK("https://docs.google.com/document/d/17Kw8mIRmiXWZ4KES51sF4Gt26MpWE54ofJ5LlW-bOA4/edit?usp=sharing","Hammer Museum Event Photography")</f>
        <v>Hammer Museum Event Photography</v>
      </c>
      <c r="D8" s="3" t="s">
        <v>127</v>
      </c>
    </row>
    <row r="9">
      <c r="A9" s="1" t="s">
        <v>825</v>
      </c>
      <c r="B9" s="1" t="s">
        <v>134</v>
      </c>
      <c r="C9" s="2" t="str">
        <f>HYPERLINK("https://docs.google.com/document/d/17Kw8mIRmiXWZ4KES51sF4Gt26MpWE54ofJ5LlW-bOA4/view","Skirball Cultural Center Marketing")</f>
        <v>Skirball Cultural Center Marketing</v>
      </c>
      <c r="D9" s="3" t="s">
        <v>129</v>
      </c>
    </row>
    <row r="10">
      <c r="A10" s="1" t="s">
        <v>825</v>
      </c>
      <c r="B10" s="1" t="s">
        <v>142</v>
      </c>
      <c r="C10" s="2" t="str">
        <f>HYPERLINK("https://docs.google.com/presentation/d/17Wivqszccf4UdDYI50omSGz9dbgLdV54tJs84lMAUoc/edit?usp=sharing","Vibiana Los Angeles Photo Marketing")</f>
        <v>Vibiana Los Angeles Photo Marketing</v>
      </c>
      <c r="D10" s="3" t="s">
        <v>130</v>
      </c>
    </row>
    <row r="11">
      <c r="A11" s="1" t="s">
        <v>825</v>
      </c>
      <c r="B11" s="1" t="s">
        <v>152</v>
      </c>
      <c r="C11" s="2" t="str">
        <f>HYPERLINK("https://drive.google.com/file/d/1vhRe_DzzVQkmCC_yc_HkqOReUvAlrZMF/view?usp=sharing","The Revery LA Event Photography")</f>
        <v>The Revery LA Event Photography</v>
      </c>
      <c r="D11" s="3" t="s">
        <v>151</v>
      </c>
    </row>
    <row r="12">
      <c r="A12" s="1" t="s">
        <v>825</v>
      </c>
      <c r="B12" s="1" t="s">
        <v>160</v>
      </c>
      <c r="C12" s="2" t="str">
        <f>HYPERLINK("https://docs.google.com/document/d/1ijsUh2OuZcZQEGltIekt-Vd3ig4q3DQTD3hCwsgSEZc/edit?usp=sharing","Pelican Hill Luxury Brand Photo")</f>
        <v>Pelican Hill Luxury Brand Photo</v>
      </c>
      <c r="D12" s="3" t="s">
        <v>153</v>
      </c>
    </row>
    <row r="13">
      <c r="A13" s="1" t="s">
        <v>825</v>
      </c>
      <c r="B13" s="1" t="s">
        <v>150</v>
      </c>
      <c r="C13" s="2" t="str">
        <f>HYPERLINK("https://docs.google.com/document/d/1ijsUh2OuZcZQEGltIekt-Vd3ig4q3DQTD3hCwsgSEZc/view","Lombardi House Marketing Photography")</f>
        <v>Lombardi House Marketing Photography</v>
      </c>
      <c r="D13" s="3" t="s">
        <v>155</v>
      </c>
    </row>
    <row r="14">
      <c r="A14" s="1" t="s">
        <v>825</v>
      </c>
      <c r="B14" s="1" t="s">
        <v>177</v>
      </c>
      <c r="C14" s="2" t="str">
        <f>HYPERLINK("https://drive.google.com/file/d/1Pa2ux0PMnrJ7y7fVZuApgm9gZlGrCvkP/view?usp=sharing","Hotel Per La Event Marketing")</f>
        <v>Hotel Per La Event Marketing</v>
      </c>
      <c r="D14" s="3" t="s">
        <v>176</v>
      </c>
    </row>
    <row r="15">
      <c r="A15" s="1" t="s">
        <v>825</v>
      </c>
      <c r="B15" s="1" t="s">
        <v>185</v>
      </c>
      <c r="C15" s="2" t="str">
        <f>HYPERLINK("https://docs.google.com/document/d/1oE3Zfitol1b31kZadqvsbg1PeT4wkkaWHx06BMeRqdE/edit?usp=sharing","High Net Worth Photography Services")</f>
        <v>High Net Worth Photography Services</v>
      </c>
      <c r="D15" s="3" t="s">
        <v>178</v>
      </c>
    </row>
    <row r="16">
      <c r="A16" s="1" t="s">
        <v>825</v>
      </c>
      <c r="B16" s="1" t="s">
        <v>175</v>
      </c>
      <c r="C16" s="2" t="str">
        <f>HYPERLINK("https://docs.google.com/document/d/1oE3Zfitol1b31kZadqvsbg1PeT4wkkaWHx06BMeRqdE/view","Luxury Gala Photography Los Angeles")</f>
        <v>Luxury Gala Photography Los Angeles</v>
      </c>
      <c r="D16" s="3" t="s">
        <v>180</v>
      </c>
    </row>
    <row r="17">
      <c r="A17" s="1" t="s">
        <v>825</v>
      </c>
      <c r="B17" s="1" t="s">
        <v>202</v>
      </c>
      <c r="C17" s="2" t="str">
        <f>HYPERLINK("https://drive.google.com/file/d/1Ck6QU1d9DDpRC53UzMW8HtbqWW1KH2o9/view?usp=sharing","Boutique Event Marketing Agency LA")</f>
        <v>Boutique Event Marketing Agency LA</v>
      </c>
      <c r="D17" s="3" t="s">
        <v>201</v>
      </c>
    </row>
    <row r="18">
      <c r="A18" s="1" t="s">
        <v>825</v>
      </c>
      <c r="B18" s="1" t="s">
        <v>200</v>
      </c>
      <c r="C18" s="2" t="str">
        <f>HYPERLINK("https://docs.google.com/document/d/1cHtB5rpubS-TYcBOqYbRh_PpKJNp5wb_xEYts7PjV-Q/edit?usp=sharing","Premium Visual Brand Strategy")</f>
        <v>Premium Visual Brand Strategy</v>
      </c>
      <c r="D18" s="3" t="s">
        <v>203</v>
      </c>
    </row>
    <row r="19">
      <c r="A19" s="1" t="s">
        <v>825</v>
      </c>
      <c r="B19" s="1" t="s">
        <v>217</v>
      </c>
      <c r="C19" s="2" t="str">
        <f>HYPERLINK("https://docs.google.com/document/d/1cHtB5rpubS-TYcBOqYbRh_PpKJNp5wb_xEYts7PjV-Q/view","Private Estate Event Photography")</f>
        <v>Private Estate Event Photography</v>
      </c>
      <c r="D19" s="3" t="s">
        <v>205</v>
      </c>
    </row>
    <row r="20">
      <c r="A20" s="1" t="s">
        <v>825</v>
      </c>
      <c r="B20" s="1" t="s">
        <v>225</v>
      </c>
      <c r="C20" s="2" t="str">
        <f>HYPERLINK("https://drive.google.com/file/d/1hlgZVFJ3V3V-ERCUaCNvJw98H_luDtzC/view?usp=sharing","Elite Corporate Event Marketing")</f>
        <v>Elite Corporate Event Marketing</v>
      </c>
      <c r="D20" s="3" t="s">
        <v>226</v>
      </c>
    </row>
    <row r="21">
      <c r="A21" s="1" t="s">
        <v>825</v>
      </c>
      <c r="B21" s="1" t="s">
        <v>234</v>
      </c>
      <c r="C21" s="2" t="str">
        <f>HYPERLINK("https://docs.google.com/document/d/1MKc54RBVYXRZOu8W1gmeBcxcFkp23F8AjO12b79rQZM/edit?usp=sharing","Ultra Luxury Brand Activation LA")</f>
        <v>Ultra Luxury Brand Activation LA</v>
      </c>
      <c r="D21" s="3" t="s">
        <v>227</v>
      </c>
    </row>
  </sheetData>
  <hyperlinks>
    <hyperlink r:id="rId1" ref="D1"/>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s>
  <drawing r:id="rId2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826</v>
      </c>
      <c r="B1" s="1" t="s">
        <v>827</v>
      </c>
      <c r="C1" s="1" t="s">
        <v>828</v>
      </c>
    </row>
    <row r="2">
      <c r="A2" s="1" t="s">
        <v>1</v>
      </c>
      <c r="B2" s="1" t="s">
        <v>1</v>
      </c>
      <c r="C2" s="1" t="s">
        <v>827</v>
      </c>
      <c r="D2" s="1" t="s">
        <v>828</v>
      </c>
    </row>
    <row r="3">
      <c r="A3" s="1" t="s">
        <v>829</v>
      </c>
      <c r="B3" s="1" t="s">
        <v>830</v>
      </c>
    </row>
    <row r="4">
      <c r="A4" s="1" t="s">
        <v>831</v>
      </c>
      <c r="B4" s="1" t="s">
        <v>832</v>
      </c>
    </row>
    <row r="5">
      <c r="A5" s="1" t="s">
        <v>833</v>
      </c>
      <c r="B5" s="4" t="s">
        <v>834</v>
      </c>
    </row>
    <row r="6">
      <c r="A6" s="1" t="s">
        <v>835</v>
      </c>
      <c r="B6" s="1">
        <v>34.0723004315068</v>
      </c>
    </row>
    <row r="7">
      <c r="A7" s="1" t="s">
        <v>836</v>
      </c>
      <c r="B7" s="1">
        <v>-118.286687808984</v>
      </c>
    </row>
    <row r="8">
      <c r="A8" s="1" t="s">
        <v>826</v>
      </c>
      <c r="B8" s="1" t="s">
        <v>837</v>
      </c>
      <c r="C8" s="1" t="s">
        <v>838</v>
      </c>
    </row>
    <row r="9">
      <c r="A9" s="1" t="s">
        <v>75</v>
      </c>
      <c r="B9" s="1" t="s">
        <v>75</v>
      </c>
      <c r="C9" s="1" t="s">
        <v>837</v>
      </c>
      <c r="D9" s="1" t="s">
        <v>838</v>
      </c>
    </row>
    <row r="10">
      <c r="A10" s="1" t="s">
        <v>86</v>
      </c>
      <c r="B10" s="1" t="s">
        <v>86</v>
      </c>
      <c r="C10" s="1" t="s">
        <v>837</v>
      </c>
      <c r="D10" s="1" t="s">
        <v>838</v>
      </c>
    </row>
    <row r="11">
      <c r="A11" s="1" t="s">
        <v>77</v>
      </c>
      <c r="B11" s="1" t="s">
        <v>77</v>
      </c>
      <c r="C11" s="1" t="s">
        <v>837</v>
      </c>
      <c r="D11" s="1" t="s">
        <v>838</v>
      </c>
    </row>
    <row r="12">
      <c r="A12" s="1" t="s">
        <v>826</v>
      </c>
      <c r="B12" s="1" t="s">
        <v>837</v>
      </c>
      <c r="C12" s="1" t="s">
        <v>838</v>
      </c>
    </row>
    <row r="13">
      <c r="A13" s="1" t="s">
        <v>103</v>
      </c>
      <c r="B13" s="1" t="s">
        <v>103</v>
      </c>
      <c r="C13" s="1" t="s">
        <v>837</v>
      </c>
      <c r="D13" s="1" t="s">
        <v>838</v>
      </c>
    </row>
    <row r="14">
      <c r="A14" s="1" t="s">
        <v>111</v>
      </c>
      <c r="B14" s="1" t="s">
        <v>111</v>
      </c>
      <c r="C14" s="1" t="s">
        <v>837</v>
      </c>
      <c r="D14" s="1" t="s">
        <v>838</v>
      </c>
    </row>
    <row r="15">
      <c r="A15" s="1" t="s">
        <v>101</v>
      </c>
      <c r="B15" s="1" t="s">
        <v>101</v>
      </c>
      <c r="C15" s="1" t="s">
        <v>837</v>
      </c>
      <c r="D15" s="1" t="s">
        <v>838</v>
      </c>
    </row>
    <row r="16">
      <c r="A16" s="1" t="s">
        <v>826</v>
      </c>
      <c r="B16" s="1" t="s">
        <v>837</v>
      </c>
      <c r="C16" s="1" t="s">
        <v>838</v>
      </c>
    </row>
    <row r="17">
      <c r="A17" s="1" t="s">
        <v>126</v>
      </c>
      <c r="B17" s="1" t="s">
        <v>126</v>
      </c>
      <c r="C17" s="1" t="s">
        <v>837</v>
      </c>
      <c r="D17" s="1" t="s">
        <v>838</v>
      </c>
    </row>
    <row r="18">
      <c r="A18" s="1" t="s">
        <v>134</v>
      </c>
      <c r="B18" s="1" t="s">
        <v>134</v>
      </c>
      <c r="C18" s="1" t="s">
        <v>837</v>
      </c>
      <c r="D18" s="1" t="s">
        <v>838</v>
      </c>
    </row>
    <row r="19">
      <c r="A19" s="1" t="s">
        <v>142</v>
      </c>
      <c r="B19" s="1" t="s">
        <v>142</v>
      </c>
      <c r="C19" s="1" t="s">
        <v>837</v>
      </c>
      <c r="D19" s="1" t="s">
        <v>838</v>
      </c>
    </row>
    <row r="20">
      <c r="A20" s="1" t="s">
        <v>826</v>
      </c>
      <c r="B20" s="1" t="s">
        <v>837</v>
      </c>
      <c r="C20" s="1" t="s">
        <v>838</v>
      </c>
    </row>
    <row r="21">
      <c r="A21" s="1" t="s">
        <v>152</v>
      </c>
      <c r="B21" s="1" t="s">
        <v>152</v>
      </c>
      <c r="C21" s="1" t="s">
        <v>837</v>
      </c>
      <c r="D21" s="1" t="s">
        <v>838</v>
      </c>
    </row>
    <row r="22">
      <c r="A22" s="1" t="s">
        <v>160</v>
      </c>
      <c r="B22" s="1" t="s">
        <v>160</v>
      </c>
      <c r="C22" s="1" t="s">
        <v>837</v>
      </c>
      <c r="D22" s="1" t="s">
        <v>838</v>
      </c>
    </row>
    <row r="23">
      <c r="A23" s="1" t="s">
        <v>150</v>
      </c>
      <c r="B23" s="1" t="s">
        <v>150</v>
      </c>
      <c r="C23" s="1" t="s">
        <v>837</v>
      </c>
      <c r="D23" s="1" t="s">
        <v>838</v>
      </c>
    </row>
    <row r="24">
      <c r="A24" s="1" t="s">
        <v>826</v>
      </c>
      <c r="B24" s="1" t="s">
        <v>837</v>
      </c>
      <c r="C24" s="1" t="s">
        <v>838</v>
      </c>
    </row>
    <row r="25">
      <c r="A25" s="1" t="s">
        <v>177</v>
      </c>
      <c r="B25" s="1" t="s">
        <v>177</v>
      </c>
      <c r="C25" s="1" t="s">
        <v>837</v>
      </c>
      <c r="D25" s="1" t="s">
        <v>838</v>
      </c>
    </row>
    <row r="26">
      <c r="A26" s="1" t="s">
        <v>185</v>
      </c>
      <c r="B26" s="1" t="s">
        <v>185</v>
      </c>
      <c r="C26" s="1" t="s">
        <v>837</v>
      </c>
      <c r="D26" s="1" t="s">
        <v>838</v>
      </c>
    </row>
    <row r="27">
      <c r="A27" s="1" t="s">
        <v>175</v>
      </c>
      <c r="B27" s="1" t="s">
        <v>175</v>
      </c>
      <c r="C27" s="1" t="s">
        <v>837</v>
      </c>
      <c r="D27" s="1" t="s">
        <v>838</v>
      </c>
    </row>
    <row r="28">
      <c r="A28" s="1" t="s">
        <v>826</v>
      </c>
      <c r="B28" s="1" t="s">
        <v>837</v>
      </c>
      <c r="C28" s="1" t="s">
        <v>838</v>
      </c>
    </row>
    <row r="29">
      <c r="A29" s="1" t="s">
        <v>202</v>
      </c>
      <c r="B29" s="1" t="s">
        <v>202</v>
      </c>
      <c r="C29" s="1" t="s">
        <v>837</v>
      </c>
      <c r="D29" s="1" t="s">
        <v>838</v>
      </c>
    </row>
    <row r="30">
      <c r="A30" s="1" t="s">
        <v>200</v>
      </c>
      <c r="B30" s="1" t="s">
        <v>200</v>
      </c>
      <c r="C30" s="1" t="s">
        <v>837</v>
      </c>
      <c r="D30" s="1" t="s">
        <v>838</v>
      </c>
    </row>
    <row r="31">
      <c r="A31" s="1" t="s">
        <v>217</v>
      </c>
      <c r="B31" s="1" t="s">
        <v>217</v>
      </c>
      <c r="C31" s="1" t="s">
        <v>837</v>
      </c>
      <c r="D31" s="1" t="s">
        <v>838</v>
      </c>
    </row>
    <row r="32">
      <c r="A32" s="1" t="s">
        <v>826</v>
      </c>
      <c r="B32" s="1" t="s">
        <v>837</v>
      </c>
      <c r="C32" s="1" t="s">
        <v>838</v>
      </c>
    </row>
    <row r="33">
      <c r="A33" s="1" t="s">
        <v>225</v>
      </c>
      <c r="B33" s="1" t="s">
        <v>225</v>
      </c>
      <c r="C33" s="1" t="s">
        <v>837</v>
      </c>
      <c r="D33" s="1" t="s">
        <v>838</v>
      </c>
    </row>
    <row r="34">
      <c r="A34" s="1" t="s">
        <v>234</v>
      </c>
      <c r="B34" s="1" t="s">
        <v>234</v>
      </c>
      <c r="C34" s="1" t="s">
        <v>837</v>
      </c>
      <c r="D34" s="1" t="s">
        <v>838</v>
      </c>
    </row>
    <row r="35">
      <c r="A35" s="1" t="s">
        <v>826</v>
      </c>
    </row>
    <row r="36">
      <c r="A36" s="1" t="s">
        <v>826</v>
      </c>
    </row>
    <row r="37">
      <c r="A37" s="1" t="s">
        <v>826</v>
      </c>
    </row>
    <row r="38">
      <c r="A38" s="1" t="s">
        <v>826</v>
      </c>
    </row>
    <row r="39">
      <c r="A39" s="1" t="s">
        <v>826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839</v>
      </c>
      <c r="B1" s="3" t="s">
        <v>48</v>
      </c>
    </row>
    <row r="2">
      <c r="A2" s="1" t="s">
        <v>839</v>
      </c>
      <c r="B2" s="3" t="s">
        <v>49</v>
      </c>
    </row>
    <row r="3">
      <c r="A3" s="1" t="s">
        <v>839</v>
      </c>
      <c r="B3" s="3" t="s">
        <v>50</v>
      </c>
    </row>
    <row r="4">
      <c r="A4" s="1" t="s">
        <v>839</v>
      </c>
      <c r="B4" s="3" t="s">
        <v>51</v>
      </c>
    </row>
    <row r="5">
      <c r="A5" s="1" t="s">
        <v>839</v>
      </c>
      <c r="B5" s="3" t="s">
        <v>52</v>
      </c>
    </row>
    <row r="6">
      <c r="A6" s="1" t="s">
        <v>839</v>
      </c>
      <c r="B6" s="3" t="s">
        <v>53</v>
      </c>
    </row>
    <row r="7">
      <c r="A7" s="1" t="s">
        <v>839</v>
      </c>
      <c r="B7" s="3" t="s">
        <v>54</v>
      </c>
    </row>
    <row r="8">
      <c r="A8" s="1" t="s">
        <v>839</v>
      </c>
      <c r="B8" s="3" t="s">
        <v>55</v>
      </c>
    </row>
    <row r="9">
      <c r="A9" s="1" t="s">
        <v>839</v>
      </c>
      <c r="B9" s="3" t="s">
        <v>56</v>
      </c>
    </row>
    <row r="10">
      <c r="A10" s="1" t="s">
        <v>839</v>
      </c>
      <c r="B10" s="3" t="s">
        <v>57</v>
      </c>
    </row>
    <row r="11">
      <c r="A11" s="1" t="s">
        <v>839</v>
      </c>
      <c r="B11" s="3" t="s">
        <v>58</v>
      </c>
    </row>
    <row r="12">
      <c r="A12" s="1" t="s">
        <v>839</v>
      </c>
      <c r="B12" s="3" t="s">
        <v>59</v>
      </c>
    </row>
    <row r="13">
      <c r="A13" s="1" t="s">
        <v>839</v>
      </c>
      <c r="B13" s="3" t="s">
        <v>60</v>
      </c>
    </row>
  </sheetData>
  <hyperlinks>
    <hyperlink r:id="rId1" ref="B1"/>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6</v>
      </c>
    </row>
    <row r="2">
      <c r="A2" s="5" t="str">
        <f>IFERROR(__xludf.DUMMYFUNCTION("IMPORTFEED(""https://news.google.com/rss/search?q=photobooth"",""items created"", false)"),"Fri, 03 Apr 2026 04:39:48 GMT")</f>
        <v>Fri, 03 Apr 2026 04:39:48 GMT</v>
      </c>
      <c r="B2" s="5" t="str">
        <f>IFERROR(__xludf.DUMMYFUNCTION("IMPORTFEED(""https://news.google.com/rss/search?q=photobooth"",""items title"", false)"),"7x5ft Pirate Ship Backdrop Vinyl - Treasure Map Nautical Photo Booth Background For Birthday Party Decor - aplusme.me")</f>
        <v>7x5ft Pirate Ship Backdrop Vinyl - Treasure Map Nautical Photo Booth Background For Birthday Party Decor - aplusme.me</v>
      </c>
      <c r="D2" s="2" t="str">
        <f>IFERROR(__xludf.DUMMYFUNCTION("IMPORTFEED(""https://news.google.com/rss/search?q=photobooth"",""items url"", false)"),"https://news.google.com/rss/articles/CBMinAFBVV95cUxPZ2V0WnFDenBSanNpSVhEYWdKcDBBN3plU2RjNE9hU3lpYkhNYUNIeXd4aGpfdExaeDhoeU1BXzJ5aDJ0S3V5cUxlTnlpai1oZXE4OVNtTUVQbjVOaXdDSnNXOUJfakRaTW5xc1Z2Z2QwUGl3UnByeG1sUDJ3TjBKem5OMkRqckxqX0QteU1fMUNOSWMxTXJqTE1RWE4?oc"&amp;"=5")</f>
        <v>https://news.google.com/rss/articles/CBMinAFBVV95cUxPZ2V0WnFDenBSanNpSVhEYWdKcDBBN3plU2RjNE9hU3lpYkhNYUNIeXd4aGpfdExaeDhoeU1BXzJ5aDJ0S3V5cUxlTnlpai1oZXE4OVNtTUVQbjVOaXdDSnNXOUJfakRaTW5xc1Z2Z2QwUGl3UnByeG1sUDJ3TjBKem5OMkRqckxqX0QteU1fMUNOSWMxTXJqTE1RWE4?oc=5</v>
      </c>
      <c r="E2" s="5" t="str">
        <f>IFERROR(__xludf.DUMMYFUNCTION("IMPORTFEED(""https://news.google.com/rss/search?q=photobooth"",""items summary"", false)"),"7x5ft Pirate Ship Backdrop Vinyl - Treasure Map Nautical Photo Booth 
Background For Birthday Party Decor  aplusme.me")</f>
        <v>7x5ft Pirate Ship Backdrop Vinyl - Treasure Map Nautical Photo Booth 
Background For Birthday Party Decor  aplusme.me</v>
      </c>
    </row>
    <row r="3">
      <c r="A3" s="5" t="str">
        <f>IFERROR(__xludf.DUMMYFUNCTION("""COMPUTED_VALUE"""),"Mon, 30 Mar 2026 23:59:34 GMT")</f>
        <v>Mon, 30 Mar 2026 23:59:34 GMT</v>
      </c>
      <c r="B3" s="5" t="str">
        <f>IFERROR(__xludf.DUMMYFUNCTION("""COMPUTED_VALUE"""),"Sun Ocean Octopus Photography Backdrop - 56x79"" High Density Polyester Fabric Background For Photo Booth, Parties, Studio - aplusme.me")</f>
        <v>Sun Ocean Octopus Photography Backdrop - 56x79" High Density Polyester Fabric Background For Photo Booth, Parties, Studio - aplusme.me</v>
      </c>
      <c r="D3" s="2" t="str">
        <f>IFERROR(__xludf.DUMMYFUNCTION("""COMPUTED_VALUE"""),"https://news.google.com/rss/articles/CBMilAFBVV95cUxQaS03Z2NBZDZDQ2ZhU3lWcEw4VVdheGxJcXh5YzJrMHl3WWs0WjFwX21ZdEZBbHhiRjhsRmRuMFJIejJfd0pkR3hZVVdGc1p6MERMNUhveFMyTEF6OEdtR0F0ZEdwNnRiUFN3Y2hOaWQtQWZJLWpKeTRxT2hRTTI0eWcwUkFLRlFrbTk1b3hpTzBuSnFV?oc=5")</f>
        <v>https://news.google.com/rss/articles/CBMilAFBVV95cUxQaS03Z2NBZDZDQ2ZhU3lWcEw4VVdheGxJcXh5YzJrMHl3WWs0WjFwX21ZdEZBbHhiRjhsRmRuMFJIejJfd0pkR3hZVVdGc1p6MERMNUhveFMyTEF6OEdtR0F0ZEdwNnRiUFN3Y2hOaWQtQWZJLWpKeTRxT2hRTTI0eWcwUkFLRlFrbTk1b3hpTzBuSnFV?oc=5</v>
      </c>
      <c r="E3" s="5" t="str">
        <f>IFERROR(__xludf.DUMMYFUNCTION("""COMPUTED_VALUE"""),"Sun Ocean Octopus Photography Backdrop - 56x79"" High Density Polyester 
Fabric Background For Photo Booth, Parties, Studio  aplusme.me")</f>
        <v>Sun Ocean Octopus Photography Backdrop - 56x79" High Density Polyester 
Fabric Background For Photo Booth, Parties, Studio  aplusme.me</v>
      </c>
    </row>
    <row r="4">
      <c r="A4" s="5" t="str">
        <f>IFERROR(__xludf.DUMMYFUNCTION("""COMPUTED_VALUE"""),"Wed, 08 Apr 2026 16:56:43 GMT")</f>
        <v>Wed, 08 Apr 2026 16:56:43 GMT</v>
      </c>
      <c r="B4" s="5" t="str">
        <f>IFERROR(__xludf.DUMMYFUNCTION("""COMPUTED_VALUE"""),"Film strips, photo booths and a tangible memory: What does taking a photograph in 2026 mean? - Vogue Singapore")</f>
        <v>Film strips, photo booths and a tangible memory: What does taking a photograph in 2026 mean? - Vogue Singapore</v>
      </c>
      <c r="D4" s="2" t="str">
        <f>IFERROR(__xludf.DUMMYFUNCTION("""COMPUTED_VALUE"""),"https://news.google.com/rss/articles/CBMiSEFVX3lxTE5GQTBCcmNJd0lETXRYR0M0NWVnUjBBUDVoeGZacExTcU5tMkFtQ0s1eFVCY1kzRU9FeFdKUWFoTjFpY2VwSDZKYw?oc=5")</f>
        <v>https://news.google.com/rss/articles/CBMiSEFVX3lxTE5GQTBCcmNJd0lETXRYR0M0NWVnUjBBUDVoeGZacExTcU5tMkFtQ0s1eFVCY1kzRU9FeFdKUWFoTjFpY2VwSDZKYw?oc=5</v>
      </c>
      <c r="E4" s="5" t="str">
        <f>IFERROR(__xludf.DUMMYFUNCTION("""COMPUTED_VALUE"""),"Film strips, photo booths and a tangible memory: What does taking a 
photograph in 2026 mean?  Vogue Singapore")</f>
        <v>Film strips, photo booths and a tangible memory: What does taking a 
photograph in 2026 mean?  Vogue Singapore</v>
      </c>
    </row>
    <row r="5">
      <c r="A5" s="5" t="str">
        <f>IFERROR(__xludf.DUMMYFUNCTION("""COMPUTED_VALUE"""),"Wed, 08 Apr 2026 10:42:41 GMT")</f>
        <v>Wed, 08 Apr 2026 10:42:41 GMT</v>
      </c>
      <c r="B5" s="5" t="str">
        <f>IFERROR(__xludf.DUMMYFUNCTION("""COMPUTED_VALUE"""),"Captured Celebrations Named Best Wedding Photo Booth 2025, Now Serving 500+ Events Across Los Angeles County - openPR.com")</f>
        <v>Captured Celebrations Named Best Wedding Photo Booth 2025, Now Serving 500+ Events Across Los Angeles County - openPR.com</v>
      </c>
      <c r="D5" s="2" t="str">
        <f>IFERROR(__xludf.DUMMYFUNCTION("""COMPUTED_VALUE"""),"https://news.google.com/rss/articles/CBMingFBVV95cUxQSDhNRjlZYTZtNGNla0JGVHA0RmhJY1d1YW9UTWhEN01fY05ES004bjJlaHV4ZVlwSU1OSVJ4ZTZKcGVIWlplbkxyMGJ1WGI4elh1VmRpQnJ6LWYyUWJaSlZLQV9xYWxiUkN4NFRCcWJLN1BqeUZXZWNFZ2d4dURvN1piWlo5TkNaWFFJS0ZDdlZSYl9YR3Z6SDd4cmV2dw"&amp;"?oc=5")</f>
        <v>https://news.google.com/rss/articles/CBMingFBVV95cUxQSDhNRjlZYTZtNGNla0JGVHA0RmhJY1d1YW9UTWhEN01fY05ES004bjJlaHV4ZVlwSU1OSVJ4ZTZKcGVIWlplbkxyMGJ1WGI4elh1VmRpQnJ6LWYyUWJaSlZLQV9xYWxiUkN4NFRCcWJLN1BqeUZXZWNFZ2d4dURvN1piWlo5TkNaWFFJS0ZDdlZSYl9YR3Z6SDd4cmV2dw?oc=5</v>
      </c>
      <c r="E5" s="5" t="str">
        <f>IFERROR(__xludf.DUMMYFUNCTION("""COMPUTED_VALUE"""),"Captured Celebrations Named Best Wedding Photo Booth 2025, Now Serving 500+ 
Events Across Los Angeles County  openPR.com")</f>
        <v>Captured Celebrations Named Best Wedding Photo Booth 2025, Now Serving 500+ 
Events Across Los Angeles County  openPR.com</v>
      </c>
    </row>
    <row r="6">
      <c r="A6" s="5" t="str">
        <f>IFERROR(__xludf.DUMMYFUNCTION("""COMPUTED_VALUE"""),"Wed, 01 Apr 2026 07:50:20 GMT")</f>
        <v>Wed, 01 Apr 2026 07:50:20 GMT</v>
      </c>
      <c r="B6" s="5" t="str">
        <f>IFERROR(__xludf.DUMMYFUNCTION("""COMPUTED_VALUE"""),"Back To The 80s Backdrop 10x8ft - Graffiti Brick Wall Photo Booth Background For 80's Party - aplusme.me")</f>
        <v>Back To The 80s Backdrop 10x8ft - Graffiti Brick Wall Photo Booth Background For 80's Party - aplusme.me</v>
      </c>
      <c r="D6" s="2" t="str">
        <f>IFERROR(__xludf.DUMMYFUNCTION("""COMPUTED_VALUE"""),"https://news.google.com/rss/articles/CBMilgFBVV95cUxNV3Zma01Bb0pjUmR0UjhGZkxvRVNQZUFmY1Foa0RCZUVuSTA3YUdtaVBNTVJRQUpXU1B1a3FUQ0dWN2hjSFRVcFhUSmpqQ3B5QkJaOFJmUnhuQzlPT2FUUFlzeXF1OFNWUVRJaFA3c1htdE5sTThnR25ScVB0Q0RwOFlFNFpRejZXblF5MWVWeldJeThpR3c?oc=5")</f>
        <v>https://news.google.com/rss/articles/CBMilgFBVV95cUxNV3Zma01Bb0pjUmR0UjhGZkxvRVNQZUFmY1Foa0RCZUVuSTA3YUdtaVBNTVJRQUpXU1B1a3FUQ0dWN2hjSFRVcFhUSmpqQ3B5QkJaOFJmUnhuQzlPT2FUUFlzeXF1OFNWUVRJaFA3c1htdE5sTThnR25ScVB0Q0RwOFlFNFpRejZXblF5MWVWeldJeThpR3c?oc=5</v>
      </c>
      <c r="E6" s="5" t="str">
        <f>IFERROR(__xludf.DUMMYFUNCTION("""COMPUTED_VALUE"""),"Back To The 80s Backdrop 10x8ft - Graffiti Brick Wall Photo Booth 
Background For 80's Party  aplusme.me")</f>
        <v>Back To The 80s Backdrop 10x8ft - Graffiti Brick Wall Photo Booth 
Background For 80's Party  aplusme.me</v>
      </c>
    </row>
    <row r="7">
      <c r="A7" s="5" t="str">
        <f>IFERROR(__xludf.DUMMYFUNCTION("""COMPUTED_VALUE"""),"Wed, 08 Apr 2026 04:02:19 GMT")</f>
        <v>Wed, 08 Apr 2026 04:02:19 GMT</v>
      </c>
      <c r="B7" s="5" t="str">
        <f>IFERROR(__xludf.DUMMYFUNCTION("""COMPUTED_VALUE"""),"Street-Themed Happy Birthday Backdrop Banner - 70.87"" X 39.37"" Polyester For Party Photo Booth Decor - aplusme.me")</f>
        <v>Street-Themed Happy Birthday Backdrop Banner - 70.87" X 39.37" Polyester For Party Photo Booth Decor - aplusme.me</v>
      </c>
      <c r="D7" s="2" t="str">
        <f>IFERROR(__xludf.DUMMYFUNCTION("""COMPUTED_VALUE"""),"https://news.google.com/rss/articles/CBMilwFBVV95cUxPZlRpN2NDV21lN244TFQzTVVGYi03M2ZYYWxZSG43NkR2WC1CU2FiUkkyVElNNzd5SlpMLVJDZXZiT28wNzc2ampOeDZZTzZEY2hpdFRudVo2WDdpVDk1WDBpT3I0dnViMXRTQ2lSRTNJb3hlSnZfMDRiQ2NHZlAtOUM4Mk81a2dFM1M0R29VdW51MEdaRFN3?oc=5")</f>
        <v>https://news.google.com/rss/articles/CBMilwFBVV95cUxPZlRpN2NDV21lN244TFQzTVVGYi03M2ZYYWxZSG43NkR2WC1CU2FiUkkyVElNNzd5SlpMLVJDZXZiT28wNzc2ampOeDZZTzZEY2hpdFRudVo2WDdpVDk1WDBpT3I0dnViMXRTQ2lSRTNJb3hlSnZfMDRiQ2NHZlAtOUM4Mk81a2dFM1M0R29VdW51MEdaRFN3?oc=5</v>
      </c>
      <c r="E7" s="5" t="str">
        <f>IFERROR(__xludf.DUMMYFUNCTION("""COMPUTED_VALUE"""),"Street-Themed Happy Birthday Backdrop Banner - 70.87"" X 39.37"" Polyester 
For Party Photo Booth Decor  aplusme.me")</f>
        <v>Street-Themed Happy Birthday Backdrop Banner - 70.87" X 39.37" Polyester 
For Party Photo Booth Decor  aplusme.me</v>
      </c>
    </row>
    <row r="8">
      <c r="A8" s="5" t="str">
        <f>IFERROR(__xludf.DUMMYFUNCTION("""COMPUTED_VALUE"""),"Tue, 07 Apr 2026 13:31:02 GMT")</f>
        <v>Tue, 07 Apr 2026 13:31:02 GMT</v>
      </c>
      <c r="B8" s="5" t="str">
        <f>IFERROR(__xludf.DUMMYFUNCTION("""COMPUTED_VALUE"""),"Meet the photo booth boys whose 44-year romance has everyone emotional - MSN")</f>
        <v>Meet the photo booth boys whose 44-year romance has everyone emotional - MSN</v>
      </c>
      <c r="D8" s="2" t="str">
        <f>IFERROR(__xludf.DUMMYFUNCTION("""COMPUTED_VALUE"""),"https://news.google.com/rss/articles/CBMi2wJBVV95cUxQVVVCN0FJMkx3SURNN3owalFHMEhSa1E2LWh3ZGFucmJFaTE4TklKcFZaWlJhQUF0U0NHSUlHdTNxR1BXV25ySm83Z2VTaTFNSTVHbHdOTlVkdklaY3J6cUJ3TFh6T1pLLVRybjV0cU8yRWhlQ181Uk1yWkNrVnlaTTQwTWRlZHIwbHNaZEkyQmZlenNzc0xaXzdSMDROcG"&amp;"pPQV9IaXFxeHFWTXlTWU9mTHpQV3doNy0zMFRQLVhCUmJYN09NRkd0bmRtRlV5RFItci1hck5HY0phdG5aWW9WamJCZGJlWUF4c01udXdoRzlrazE0UTBTNTVqRHNodjFJVFJpeGNsWktOSjNBMXUzZ3pfU3k2SU51Ym5LeEVSbjFIMmZCQnZRNmhHelVqaVdZOHJyUTNXZ2tKWU5NRk51bm5WSzVpZ01BZG5ZNXNwNldwbnUtSFZyRWR4dw?oc"&amp;"=5")</f>
        <v>https://news.google.com/rss/articles/CBMi2wJBVV95cUxQVVVCN0FJMkx3SURNN3owalFHMEhSa1E2LWh3ZGFucmJFaTE4TklKcFZaWlJhQUF0U0NHSUlHdTNxR1BXV25ySm83Z2VTaTFNSTVHbHdOTlVkdklaY3J6cUJ3TFh6T1pLLVRybjV0cU8yRWhlQ181Uk1yWkNrVnlaTTQwTWRlZHIwbHNaZEkyQmZlenNzc0xaXzdSMDROcGpPQV9IaXFxeHFWTXlTWU9mTHpQV3doNy0zMFRQLVhCUmJYN09NRkd0bmRtRlV5RFItci1hck5HY0phdG5aWW9WamJCZGJlWUF4c01udXdoRzlrazE0UTBTNTVqRHNodjFJVFJpeGNsWktOSjNBMXUzZ3pfU3k2SU51Ym5LeEVSbjFIMmZCQnZRNmhHelVqaVdZOHJyUTNXZ2tKWU5NRk51bm5WSzVpZ01BZG5ZNXNwNldwbnUtSFZyRWR4dw?oc=5</v>
      </c>
      <c r="E8" s="5" t="str">
        <f>IFERROR(__xludf.DUMMYFUNCTION("""COMPUTED_VALUE"""),"Meet the photo booth boys whose 44-year romance has everyone emotional  MSN")</f>
        <v>Meet the photo booth boys whose 44-year romance has everyone emotional  MSN</v>
      </c>
    </row>
    <row r="9">
      <c r="A9" s="5" t="str">
        <f>IFERROR(__xludf.DUMMYFUNCTION("""COMPUTED_VALUE"""),"Wed, 01 Apr 2026 15:14:47 GMT")</f>
        <v>Wed, 01 Apr 2026 15:14:47 GMT</v>
      </c>
      <c r="B9" s="5" t="str">
        <f>IFERROR(__xludf.DUMMYFUNCTION("""COMPUTED_VALUE"""),"Motorcycle Garage Backdrop - 7x5 Ft Vintage Motocross Photo Booth Background For Birthday Party &amp; Studio - aplusme.me")</f>
        <v>Motorcycle Garage Backdrop - 7x5 Ft Vintage Motocross Photo Booth Background For Birthday Party &amp; Studio - aplusme.me</v>
      </c>
      <c r="D9" s="2" t="str">
        <f>IFERROR(__xludf.DUMMYFUNCTION("""COMPUTED_VALUE"""),"https://news.google.com/rss/articles/CBMimgFBVV95cUxQeXB0UGFYQ25hcWtuTGdmYzNSWS1HdHlVQzlaMDZqVUw0bVJDZnNWeko3alMyVzVONXBJTVM1Mzd0cFItZjM3YW5GS3FkNW5rVEg0cjRoSE9qYmtLZ1R3Z3p2VXBEOFVTcHRXSnptcW5IS1ZFMnNydEdYZC1ub3U2SWRsNnVGSE9XMngzOTZsbTJLX2xRTUdqT1JR?oc=5")</f>
        <v>https://news.google.com/rss/articles/CBMimgFBVV95cUxQeXB0UGFYQ25hcWtuTGdmYzNSWS1HdHlVQzlaMDZqVUw0bVJDZnNWeko3alMyVzVONXBJTVM1Mzd0cFItZjM3YW5GS3FkNW5rVEg0cjRoSE9qYmtLZ1R3Z3p2VXBEOFVTcHRXSnptcW5IS1ZFMnNydEdYZC1ub3U2SWRsNnVGSE9XMngzOTZsbTJLX2xRTUdqT1JR?oc=5</v>
      </c>
      <c r="E9" s="5" t="str">
        <f>IFERROR(__xludf.DUMMYFUNCTION("""COMPUTED_VALUE"""),"Motorcycle Garage Backdrop - 7x5 Ft Vintage Motocross Photo Booth 
Background For Birthday Party &amp; Studio  aplusme.me")</f>
        <v>Motorcycle Garage Backdrop - 7x5 Ft Vintage Motocross Photo Booth 
Background For Birthday Party &amp; Studio  aplusme.me</v>
      </c>
    </row>
    <row r="10">
      <c r="A10" s="5" t="str">
        <f>IFERROR(__xludf.DUMMYFUNCTION("""COMPUTED_VALUE"""),"Wed, 08 Apr 2026 02:46:33 GMT")</f>
        <v>Wed, 08 Apr 2026 02:46:33 GMT</v>
      </c>
      <c r="B10" s="5" t="str">
        <f>IFERROR(__xludf.DUMMYFUNCTION("""COMPUTED_VALUE"""),"15.6"" Mirror Photo Booth With Flight Case - DSLR Camera &amp; Instant Printer, RGB Lights, Social Media Sharing - notiexpressdemexico.com")</f>
        <v>15.6" Mirror Photo Booth With Flight Case - DSLR Camera &amp; Instant Printer, RGB Lights, Social Media Sharing - notiexpressdemexico.com</v>
      </c>
      <c r="D10" s="2" t="str">
        <f>IFERROR(__xludf.DUMMYFUNCTION("""COMPUTED_VALUE"""),"https://news.google.com/rss/articles/CBMipwFBVV95cUxQMWdIZFYwT3RXOGY0OVhTZzROUFdsb04zSU5GRksyMDI4RDFmWE1WU2VoUXh5WkwyQ2lTUVFleWpNXy1TYTJaMzN3Y1R3cG83UVZyYlN6TE4waElCTFk0UWRoS3JmN01ZQU5MeEVvSUp1UDd5Ni02NkFHSGNoUm8wWVhxNlR5Zlkzb3BuVGFCeUg4d1QtckdCWXJVRlk5aH"&amp;"JHMVlyeHNpVQ?oc=5")</f>
        <v>https://news.google.com/rss/articles/CBMipwFBVV95cUxQMWdIZFYwT3RXOGY0OVhTZzROUFdsb04zSU5GRksyMDI4RDFmWE1WU2VoUXh5WkwyQ2lTUVFleWpNXy1TYTJaMzN3Y1R3cG83UVZyYlN6TE4waElCTFk0UWRoS3JmN01ZQU5MeEVvSUp1UDd5Ni02NkFHSGNoUm8wWVhxNlR5Zlkzb3BuVGFCeUg4d1QtckdCWXJVRlk5aHJHMVlyeHNpVQ?oc=5</v>
      </c>
      <c r="E10" s="5" t="str">
        <f>IFERROR(__xludf.DUMMYFUNCTION("""COMPUTED_VALUE"""),"15.6"" Mirror Photo Booth With Flight Case - DSLR Camera &amp; Instant Printer, 
RGB Lights, Social Media Sharing  notiexpressdemexico.com")</f>
        <v>15.6" Mirror Photo Booth With Flight Case - DSLR Camera &amp; Instant Printer, 
RGB Lights, Social Media Sharing  notiexpressdemexico.com</v>
      </c>
    </row>
    <row r="11">
      <c r="A11" s="5" t="str">
        <f>IFERROR(__xludf.DUMMYFUNCTION("""COMPUTED_VALUE"""),"Tue, 07 Apr 2026 22:34:45 GMT")</f>
        <v>Tue, 07 Apr 2026 22:34:45 GMT</v>
      </c>
      <c r="B11" s="5" t="str">
        <f>IFERROR(__xludf.DUMMYFUNCTION("""COMPUTED_VALUE"""),"DSLR Mirror Photo Booth With 15.6"" Touch Screen &amp; RGB Lights - Built-in PC, Flight Case For Weddings &amp; Events (White) - notiexpressdemexico.com")</f>
        <v>DSLR Mirror Photo Booth With 15.6" Touch Screen &amp; RGB Lights - Built-in PC, Flight Case For Weddings &amp; Events (White) - notiexpressdemexico.com</v>
      </c>
      <c r="D11" s="2" t="str">
        <f>IFERROR(__xludf.DUMMYFUNCTION("""COMPUTED_VALUE"""),"https://news.google.com/rss/articles/CBMirwFBVV95cUxNLVRyVWo2aVROa0R5YzhSN255QjRZaWNHUnBoTGJLTWtSTmxjc3NYNGg3LXhQNTNnU1lVZ1RfdklNb1pNVkFYUWVPZ21EcjFoWXJTV3RmYTFXV2g3MEFVeU85RmVRdjdFWmxieGRVUkJad0pSZE5ONHgzMDdSUUwwWklHQWdqUHo3NG8tYmxEa01QZkszeWlSWWY4V0RxSF"&amp;"B2Mzk2dVlQTWlvd3Fpek1F?oc=5")</f>
        <v>https://news.google.com/rss/articles/CBMirwFBVV95cUxNLVRyVWo2aVROa0R5YzhSN255QjRZaWNHUnBoTGJLTWtSTmxjc3NYNGg3LXhQNTNnU1lVZ1RfdklNb1pNVkFYUWVPZ21EcjFoWXJTV3RmYTFXV2g3MEFVeU85RmVRdjdFWmxieGRVUkJad0pSZE5ONHgzMDdSUUwwWklHQWdqUHo3NG8tYmxEa01QZkszeWlSWWY4V0RxSFB2Mzk2dVlQTWlvd3Fpek1F?oc=5</v>
      </c>
      <c r="E11" s="5" t="str">
        <f>IFERROR(__xludf.DUMMYFUNCTION("""COMPUTED_VALUE"""),"DSLR Mirror Photo Booth With 15.6"" Touch Screen &amp; RGB Lights - Built-in PC, 
Flight Case For Weddings &amp; Events (White)  notiexpressdemexico.com")</f>
        <v>DSLR Mirror Photo Booth With 15.6" Touch Screen &amp; RGB Lights - Built-in PC, 
Flight Case For Weddings &amp; Events (White)  notiexpressdemexico.com</v>
      </c>
    </row>
    <row r="12">
      <c r="A12" s="5" t="str">
        <f>IFERROR(__xludf.DUMMYFUNCTION("""COMPUTED_VALUE"""),"Sat, 04 Apr 2026 09:23:06 GMT")</f>
        <v>Sat, 04 Apr 2026 09:23:06 GMT</v>
      </c>
      <c r="B12" s="5" t="str">
        <f>IFERROR(__xludf.DUMMYFUNCTION("""COMPUTED_VALUE"""),"ITO BA 'YUNG SINASABI NILANG 'RUIN THE FRIENDSHIP'? 😌 ""XO, Kitty"" stars Anna Cathcart and Sang Heon Lee showed off their effortless chemistry while striking a variety of playful poses inside a photobooth for a scene in the show's highly anticipated thi"&amp;"r - facebook.com")</f>
        <v>ITO BA 'YUNG SINASABI NILANG 'RUIN THE FRIENDSHIP'? 😌 "XO, Kitty" stars Anna Cathcart and Sang Heon Lee showed off their effortless chemistry while striking a variety of playful poses inside a photobooth for a scene in the show's highly anticipated thir - facebook.com</v>
      </c>
      <c r="D12" s="2" t="str">
        <f>IFERROR(__xludf.DUMMYFUNCTION("""COMPUTED_VALUE"""),"https://news.google.com/rss/articles/CBMi3AFBVV95cUxQR2t2VDV5bXFCRVVCZy1UVllOUHFOSTl3R0h3VWRLaHN3Y3JHRU5xYXg1ZFJaWEZyYVRrdFVqV3Rfa2ZQX1JRY01Gdm1jdXd1ZHllQ1VIV1NtRkVDblRfTEJjSm54dUpzYzB6R2U1N2dsV1VfSjdkMjloMnhSWEFRNlhOVm5QdDlHekpzYmhkbjFtTlpqQnZGdVViWUxsLX"&amp;"Zlc2J0c2RrWGRjcmdpYzZSTTBqc3ZLWUQxekFDVXVVcUxqME5wV3Y4Rl9xcXdLNVpEbk5iR2UzV0xWdTA2?oc=5")</f>
        <v>https://news.google.com/rss/articles/CBMi3AFBVV95cUxQR2t2VDV5bXFCRVVCZy1UVllOUHFOSTl3R0h3VWRLaHN3Y3JHRU5xYXg1ZFJaWEZyYVRrdFVqV3Rfa2ZQX1JRY01Gdm1jdXd1ZHllQ1VIV1NtRkVDblRfTEJjSm54dUpzYzB6R2U1N2dsV1VfSjdkMjloMnhSWEFRNlhOVm5QdDlHekpzYmhkbjFtTlpqQnZGdVViWUxsLXZlc2J0c2RrWGRjcmdpYzZSTTBqc3ZLWUQxekFDVXVVcUxqME5wV3Y4Rl9xcXdLNVpEbk5iR2UzV0xWdTA2?oc=5</v>
      </c>
      <c r="E12" s="5" t="str">
        <f>IFERROR(__xludf.DUMMYFUNCTION("""COMPUTED_VALUE"""),"ITO BA 'YUNG SINASABI NILANG 'RUIN THE FRIENDSHIP'? 😌 ""XO, Kitty"" stars 
Anna Cathcart and Sang Heon Lee showed off their effortless chemistry while 
striking a variety of playful poses inside a photobooth for a scene in the 
show's highly anticipated "&amp;"thir  facebook.com")</f>
        <v>ITO BA 'YUNG SINASABI NILANG 'RUIN THE FRIENDSHIP'? 😌 "XO, Kitty" stars 
Anna Cathcart and Sang Heon Lee showed off their effortless chemistry while 
striking a variety of playful poses inside a photobooth for a scene in the 
show's highly anticipated thir  facebook.com</v>
      </c>
    </row>
    <row r="13">
      <c r="A13" s="5" t="str">
        <f>IFERROR(__xludf.DUMMYFUNCTION("""COMPUTED_VALUE"""),"Sat, 04 Apr 2026 00:20:36 GMT")</f>
        <v>Sat, 04 Apr 2026 00:20:36 GMT</v>
      </c>
      <c r="B13" s="5" t="str">
        <f>IFERROR(__xludf.DUMMYFUNCTION("""COMPUTED_VALUE"""),"Rhinestone Birthday Glasses – 60th Birthday Party Eyewear, Photo Booth Props, Fun Celebration Decor - aplusme.me")</f>
        <v>Rhinestone Birthday Glasses – 60th Birthday Party Eyewear, Photo Booth Props, Fun Celebration Decor - aplusme.me</v>
      </c>
      <c r="D13" s="2" t="str">
        <f>IFERROR(__xludf.DUMMYFUNCTION("""COMPUTED_VALUE"""),"https://news.google.com/rss/articles/CBMikwFBVV95cUxPaXdQQnMyazBZYnc3SWo4NUp3ZEZWRERRTE9fSFNqRF9VQTdPYm10dnpyekNjNVByVDdxd0VYNGJLUDllSXNyd0tGV21DaDZBQmY5MFZ5ajZuYzlqdmVnMDNySHZhZ3htUHA4OGlQdlJmYUh4bXNSbkpVTnBMUTVGSkdNUjM3V1R3XzY4Zl84NnJBaUE?oc=5")</f>
        <v>https://news.google.com/rss/articles/CBMikwFBVV95cUxPaXdQQnMyazBZYnc3SWo4NUp3ZEZWRERRTE9fSFNqRF9VQTdPYm10dnpyekNjNVByVDdxd0VYNGJLUDllSXNyd0tGV21DaDZBQmY5MFZ5ajZuYzlqdmVnMDNySHZhZ3htUHA4OGlQdlJmYUh4bXNSbkpVTnBMUTVGSkdNUjM3V1R3XzY4Zl84NnJBaUE?oc=5</v>
      </c>
      <c r="E13" s="5" t="str">
        <f>IFERROR(__xludf.DUMMYFUNCTION("""COMPUTED_VALUE"""),"Rhinestone Birthday Glasses – 60th Birthday Party Eyewear, Photo Booth 
Props, Fun Celebration Decor  aplusme.me")</f>
        <v>Rhinestone Birthday Glasses – 60th Birthday Party Eyewear, Photo Booth 
Props, Fun Celebration Decor  aplusme.me</v>
      </c>
    </row>
    <row r="14">
      <c r="A14" s="5" t="str">
        <f>IFERROR(__xludf.DUMMYFUNCTION("""COMPUTED_VALUE"""),"Tue, 07 Apr 2026 23:09:35 GMT")</f>
        <v>Tue, 07 Apr 2026 23:09:35 GMT</v>
      </c>
      <c r="B14" s="5" t="str">
        <f>IFERROR(__xludf.DUMMYFUNCTION("""COMPUTED_VALUE"""),"7x5 Ft Photography Background Vinyl Mari Gras Decorations 7x5ft Mardi Gras Masquerade Backdrop - Golden Mask Black Retro Photo Booth Background For Parties Tree Of Life Wooden Wall Medallion Madi Gras Decorations For Party - primetimes.id")</f>
        <v>7x5 Ft Photography Background Vinyl Mari Gras Decorations 7x5ft Mardi Gras Masquerade Backdrop - Golden Mask Black Retro Photo Booth Background For Parties Tree Of Life Wooden Wall Medallion Madi Gras Decorations For Party - primetimes.id</v>
      </c>
      <c r="D14" s="2" t="str">
        <f>IFERROR(__xludf.DUMMYFUNCTION("""COMPUTED_VALUE"""),"https://news.google.com/rss/articles/CBMikgFBVV95cUxOZ2VwNU9KOFAwemd6SldXZThOeERMblppR0twcFN0Snc2anVZMDllR1ZQV1BTV3kwNk9zQjEwZFJwa2h3dEZudzZKYlNuSkhyV1FGZ2lBOVZzNzV3RXozSVNHeGNCdDd4eTJRVUN4MVBRZ2JtVTFqemgtemNqUDFOQjFLY0IwTHpsaU03d1FaanFIQQ?oc=5")</f>
        <v>https://news.google.com/rss/articles/CBMikgFBVV95cUxOZ2VwNU9KOFAwemd6SldXZThOeERMblppR0twcFN0Snc2anVZMDllR1ZQV1BTV3kwNk9zQjEwZFJwa2h3dEZudzZKYlNuSkhyV1FGZ2lBOVZzNzV3RXozSVNHeGNCdDd4eTJRVUN4MVBRZ2JtVTFqemgtemNqUDFOQjFLY0IwTHpsaU03d1FaanFIQQ?oc=5</v>
      </c>
      <c r="E14" s="5" t="str">
        <f>IFERROR(__xludf.DUMMYFUNCTION("""COMPUTED_VALUE"""),"7x5 Ft Photography Background Vinyl Mari Gras Decorations 7x5ft Mardi Gras 
Masquerade Backdrop - Golden Mask Black Retro Photo Booth Background For 
Parties Tree Of Life Wooden Wall Medallion Madi Gras Decorations For Party  
primetimes.id")</f>
        <v>7x5 Ft Photography Background Vinyl Mari Gras Decorations 7x5ft Mardi Gras 
Masquerade Backdrop - Golden Mask Black Retro Photo Booth Background For 
Parties Tree Of Life Wooden Wall Medallion Madi Gras Decorations For Party  
primetimes.id</v>
      </c>
    </row>
    <row r="15">
      <c r="A15" s="5" t="str">
        <f>IFERROR(__xludf.DUMMYFUNCTION("""COMPUTED_VALUE"""),"Sun, 05 Apr 2026 11:55:21 GMT")</f>
        <v>Sun, 05 Apr 2026 11:55:21 GMT</v>
      </c>
      <c r="B15" s="5" t="str">
        <f>IFERROR(__xludf.DUMMYFUNCTION("""COMPUTED_VALUE"""),"Baluue Funky Sunglasses - Quirky Hawaiian Style Novelty Eyewear For Beach Parties &amp; Photo Booths - aplusme.me")</f>
        <v>Baluue Funky Sunglasses - Quirky Hawaiian Style Novelty Eyewear For Beach Parties &amp; Photo Booths - aplusme.me</v>
      </c>
      <c r="D15" s="2" t="str">
        <f>IFERROR(__xludf.DUMMYFUNCTION("""COMPUTED_VALUE"""),"https://news.google.com/rss/articles/CBMimgFBVV95cUxQNUlBc0tfT3lYQ2FGWmNrbkFic3NiSDJaQ21QRV93R2U3aXZBNDIzQTR1UGk3QWM2ZG5jSlkwLVBpeEk3d2o2cTVpdnFEcVRmM3lFaUZCcVpZejh6LWR4S2M2blFFbjJtZUNRNUUwYnA4a3VzRUdYX2I2YjQxcHpIZTZId2pHWVE0RTRKbXRWRHpqc1dOMDhuMzNn?oc=5")</f>
        <v>https://news.google.com/rss/articles/CBMimgFBVV95cUxQNUlBc0tfT3lYQ2FGWmNrbkFic3NiSDJaQ21QRV93R2U3aXZBNDIzQTR1UGk3QWM2ZG5jSlkwLVBpeEk3d2o2cTVpdnFEcVRmM3lFaUZCcVpZejh6LWR4S2M2blFFbjJtZUNRNUUwYnA4a3VzRUdYX2I2YjQxcHpIZTZId2pHWVE0RTRKbXRWRHpqc1dOMDhuMzNn?oc=5</v>
      </c>
      <c r="E15" s="5" t="str">
        <f>IFERROR(__xludf.DUMMYFUNCTION("""COMPUTED_VALUE"""),"Baluue Funky Sunglasses - Quirky Hawaiian Style Novelty Eyewear For Beach 
Parties &amp; Photo Booths  aplusme.me")</f>
        <v>Baluue Funky Sunglasses - Quirky Hawaiian Style Novelty Eyewear For Beach 
Parties &amp; Photo Booths  aplusme.me</v>
      </c>
    </row>
    <row r="16">
      <c r="A16" s="5" t="str">
        <f>IFERROR(__xludf.DUMMYFUNCTION("""COMPUTED_VALUE"""),"Wed, 01 Apr 2026 06:44:46 GMT")</f>
        <v>Wed, 01 Apr 2026 06:44:46 GMT</v>
      </c>
      <c r="B16" s="5" t="str">
        <f>IFERROR(__xludf.DUMMYFUNCTION("""COMPUTED_VALUE"""),"25-Piece Jungle Safari Photo Booth Props - Wild One Party Selfie Sticks With Animals For Jungle Theme Birthday, Baby Shower &amp; Forest Parties - aplusme.me")</f>
        <v>25-Piece Jungle Safari Photo Booth Props - Wild One Party Selfie Sticks With Animals For Jungle Theme Birthday, Baby Shower &amp; Forest Parties - aplusme.me</v>
      </c>
      <c r="D16" s="2" t="str">
        <f>IFERROR(__xludf.DUMMYFUNCTION("""COMPUTED_VALUE"""),"https://news.google.com/rss/articles/CBMimwFBVV95cUxOcWhqOVVqODNSNWlOYkRpbmtzZk1VOUNzV3FfRm8zTVJUdTYwNVBBRUN4S3d3UG9tZC0xNlFqVVRyZFhoOU4tel95XzRHcFBCc002S0hRa0tYYVlRX0c1d0VUM0JZd1FWSmhhVk1LWFpQdW1BM1FFTGdseWlGYlZnQldfMXYyc2FZQzVCOWNiTWJFa29MamNKaTlzYw?oc="&amp;"5")</f>
        <v>https://news.google.com/rss/articles/CBMimwFBVV95cUxOcWhqOVVqODNSNWlOYkRpbmtzZk1VOUNzV3FfRm8zTVJUdTYwNVBBRUN4S3d3UG9tZC0xNlFqVVRyZFhoOU4tel95XzRHcFBCc002S0hRa0tYYVlRX0c1d0VUM0JZd1FWSmhhVk1LWFpQdW1BM1FFTGdseWlGYlZnQldfMXYyc2FZQzVCOWNiTWJFa29MamNKaTlzYw?oc=5</v>
      </c>
      <c r="E16" s="5" t="str">
        <f>IFERROR(__xludf.DUMMYFUNCTION("""COMPUTED_VALUE"""),"25-Piece Jungle Safari Photo Booth Props - Wild One Party Selfie Sticks 
With Animals For Jungle Theme Birthday, Baby Shower &amp; Forest Parties  
aplusme.me")</f>
        <v>25-Piece Jungle Safari Photo Booth Props - Wild One Party Selfie Sticks 
With Animals For Jungle Theme Birthday, Baby Shower &amp; Forest Parties  
aplusme.me</v>
      </c>
    </row>
    <row r="17">
      <c r="A17" s="5" t="str">
        <f>IFERROR(__xludf.DUMMYFUNCTION("""COMPUTED_VALUE"""),"Thu, 05 Feb 2026 08:00:00 GMT")</f>
        <v>Thu, 05 Feb 2026 08:00:00 GMT</v>
      </c>
      <c r="B17" s="5" t="str">
        <f>IFERROR(__xludf.DUMMYFUNCTION("""COMPUTED_VALUE"""),"Chicago photobooth studio ‘The Strip Club’ set to open Friday | ChicagoNOW - FOX 32 Chicago")</f>
        <v>Chicago photobooth studio ‘The Strip Club’ set to open Friday | ChicagoNOW - FOX 32 Chicago</v>
      </c>
      <c r="D17" s="2" t="str">
        <f>IFERROR(__xludf.DUMMYFUNCTION("""COMPUTED_VALUE"""),"https://news.google.com/rss/articles/CBMiZkFVX3lxTE9Ldmhmc2JTNXpMOVFtTGdrUzZZRkw0SFd0TUF4cmVBNUhIRElwZ3ZSU2Q5OVp5Vklmak9EaGFFb0NrSmt6aE12enpaajVjcnFpc0FPNnFkRVZ6X0lMZ3lwRkdOa1pEQQ?oc=5")</f>
        <v>https://news.google.com/rss/articles/CBMiZkFVX3lxTE9Ldmhmc2JTNXpMOVFtTGdrUzZZRkw0SFd0TUF4cmVBNUhIRElwZ3ZSU2Q5OVp5Vklmak9EaGFFb0NrSmt6aE12enpaajVjcnFpc0FPNnFkRVZ6X0lMZ3lwRkdOa1pEQQ?oc=5</v>
      </c>
      <c r="E17" s="5" t="str">
        <f>IFERROR(__xludf.DUMMYFUNCTION("""COMPUTED_VALUE"""),"Chicago photobooth studio ‘The Strip Club’ set to open Friday | ChicagoNOW  FOX 
32 Chicago")</f>
        <v>Chicago photobooth studio ‘The Strip Club’ set to open Friday | ChicagoNOW  FOX 
32 Chicago</v>
      </c>
    </row>
    <row r="18">
      <c r="A18" s="5" t="str">
        <f>IFERROR(__xludf.DUMMYFUNCTION("""COMPUTED_VALUE"""),"Fri, 03 Apr 2026 04:44:30 GMT")</f>
        <v>Fri, 03 Apr 2026 04:44:30 GMT</v>
      </c>
      <c r="B18" s="5" t="str">
        <f>IFERROR(__xludf.DUMMYFUNCTION("""COMPUTED_VALUE"""),"SAYOK Inflatable Photo Booth Enclosure (11.5x9.2x8.2 Ft) - Camera-Shaped Black &amp; White Inflatable Tent With Blower For Events - aplusme.me")</f>
        <v>SAYOK Inflatable Photo Booth Enclosure (11.5x9.2x8.2 Ft) - Camera-Shaped Black &amp; White Inflatable Tent With Blower For Events - aplusme.me</v>
      </c>
      <c r="D18" s="2" t="str">
        <f>IFERROR(__xludf.DUMMYFUNCTION("""COMPUTED_VALUE"""),"https://news.google.com/rss/articles/CBMilAFBVV95cUxNOTJrR1JXSld0ZlBMc3BPQ1ZJX0ZaSExFTHRKUnlkRnV5YVZkQmNEWlc2U2VFRXpQR0ZFd09kSlZqdk51T1VjV1JPcnlQN3hSOXJVRW5DREhhT1FUVm4wdUw5VWFXRlZ2SGZQdzhYMVAzbXQySU5iVlAzUVR5UV90eXhzektIWE1GS3dwZENxcjY4YkFH?oc=5")</f>
        <v>https://news.google.com/rss/articles/CBMilAFBVV95cUxNOTJrR1JXSld0ZlBMc3BPQ1ZJX0ZaSExFTHRKUnlkRnV5YVZkQmNEWlc2U2VFRXpQR0ZFd09kSlZqdk51T1VjV1JPcnlQN3hSOXJVRW5DREhhT1FUVm4wdUw5VWFXRlZ2SGZQdzhYMVAzbXQySU5iVlAzUVR5UV90eXhzektIWE1GS3dwZENxcjY4YkFH?oc=5</v>
      </c>
      <c r="E18" s="5" t="str">
        <f>IFERROR(__xludf.DUMMYFUNCTION("""COMPUTED_VALUE"""),"SAYOK Inflatable Photo Booth Enclosure (11.5x9.2x8.2 Ft) - Camera-Shaped 
Black &amp; White Inflatable Tent With Blower For Events  aplusme.me")</f>
        <v>SAYOK Inflatable Photo Booth Enclosure (11.5x9.2x8.2 Ft) - Camera-Shaped 
Black &amp; White Inflatable Tent With Blower For Events  aplusme.me</v>
      </c>
    </row>
    <row r="19">
      <c r="A19" s="5" t="str">
        <f>IFERROR(__xludf.DUMMYFUNCTION("""COMPUTED_VALUE"""),"Sat, 04 Apr 2026 03:35:52 GMT")</f>
        <v>Sat, 04 Apr 2026 03:35:52 GMT</v>
      </c>
      <c r="B19" s="5" t="str">
        <f>IFERROR(__xludf.DUMMYFUNCTION("""COMPUTED_VALUE"""),"Western Cowboy Backdrop – Wild West Photo Booth Background For Parties, 7x5 FT Vinyl - aplusme.me")</f>
        <v>Western Cowboy Backdrop – Wild West Photo Booth Background For Parties, 7x5 FT Vinyl - aplusme.me</v>
      </c>
      <c r="D19" s="2" t="str">
        <f>IFERROR(__xludf.DUMMYFUNCTION("""COMPUTED_VALUE"""),"https://news.google.com/rss/articles/CBMiWkFVX3lxTE1GWHJRY3JLaEJWWnlfQnNaMHE1WFhBZy1paWdGd2JrMGRjTzRfb1V6ZGMyeDI0ZU1CVkZ6WXI4LTJ6NFRBMEc0UmVicHRncnZSWFJIbnFPRWlQUQ?oc=5")</f>
        <v>https://news.google.com/rss/articles/CBMiWkFVX3lxTE1GWHJRY3JLaEJWWnlfQnNaMHE1WFhBZy1paWdGd2JrMGRjTzRfb1V6ZGMyeDI0ZU1CVkZ6WXI4LTJ6NFRBMEc0UmVicHRncnZSWFJIbnFPRWlQUQ?oc=5</v>
      </c>
      <c r="E19" s="5" t="str">
        <f>IFERROR(__xludf.DUMMYFUNCTION("""COMPUTED_VALUE"""),"Western Cowboy Backdrop – Wild West Photo Booth Background For Parties, 7x5 
FT Vinyl  aplusme.me")</f>
        <v>Western Cowboy Backdrop – Wild West Photo Booth Background For Parties, 7x5 
FT Vinyl  aplusme.me</v>
      </c>
    </row>
    <row r="20">
      <c r="A20" s="5" t="str">
        <f>IFERROR(__xludf.DUMMYFUNCTION("""COMPUTED_VALUE"""),"Fri, 03 Apr 2026 07:33:34 GMT")</f>
        <v>Fri, 03 Apr 2026 07:33:34 GMT</v>
      </c>
      <c r="B20" s="5" t="str">
        <f>IFERROR(__xludf.DUMMYFUNCTION("""COMPUTED_VALUE"""),"BELECO 7x5ft Basketball Court Fabric Backdrop | Sports Theme Photo Booth Background For Parties &amp; Decor - aplusme.me")</f>
        <v>BELECO 7x5ft Basketball Court Fabric Backdrop | Sports Theme Photo Booth Background For Parties &amp; Decor - aplusme.me</v>
      </c>
      <c r="D20" s="2" t="str">
        <f>IFERROR(__xludf.DUMMYFUNCTION("""COMPUTED_VALUE"""),"https://news.google.com/rss/articles/CBMilAFBVV95cUxNLXVzZGt6cjVyYkRmWWdZenJ1dUxKZHlSMVpxaFJmcl9BcHBuX3gzazN4Uk1qM0VEandwLVB6VjAzSmkwUW54NUxhNUFRNFR1ekJCOWgtdU8tUTlBd3I2M2YzX3RZZzVlTHpaN1ItRHJLOXNSNkxuWDV3ekQ2aVZWcGRkZW1KbGl2TEJuLVVWbjVGODdn?oc=5")</f>
        <v>https://news.google.com/rss/articles/CBMilAFBVV95cUxNLXVzZGt6cjVyYkRmWWdZenJ1dUxKZHlSMVpxaFJmcl9BcHBuX3gzazN4Uk1qM0VEandwLVB6VjAzSmkwUW54NUxhNUFRNFR1ekJCOWgtdU8tUTlBd3I2M2YzX3RZZzVlTHpaN1ItRHJLOXNSNkxuWDV3ekQ2aVZWcGRkZW1KbGl2TEJuLVVWbjVGODdn?oc=5</v>
      </c>
      <c r="E20" s="5" t="str">
        <f>IFERROR(__xludf.DUMMYFUNCTION("""COMPUTED_VALUE"""),"BELECO 7x5ft Basketball Court Fabric Backdrop | Sports Theme Photo Booth 
Background For Parties &amp; Decor  aplusme.me")</f>
        <v>BELECO 7x5ft Basketball Court Fabric Backdrop | Sports Theme Photo Booth 
Background For Parties &amp; Decor  aplusme.me</v>
      </c>
    </row>
    <row r="21">
      <c r="A21" s="5" t="str">
        <f>IFERROR(__xludf.DUMMYFUNCTION("""COMPUTED_VALUE"""),"Tue, 31 Mar 2026 23:09:41 GMT")</f>
        <v>Tue, 31 Mar 2026 23:09:41 GMT</v>
      </c>
      <c r="B21" s="5" t="str">
        <f>IFERROR(__xludf.DUMMYFUNCTION("""COMPUTED_VALUE"""),"PRETYZOOM 40 Sets Red Lips Photo Booth Props – Fun Party Decor For Weddings, Birthdays, Holidays - aplusme.me")</f>
        <v>PRETYZOOM 40 Sets Red Lips Photo Booth Props – Fun Party Decor For Weddings, Birthdays, Holidays - aplusme.me</v>
      </c>
      <c r="D21" s="2" t="str">
        <f>IFERROR(__xludf.DUMMYFUNCTION("""COMPUTED_VALUE"""),"https://news.google.com/rss/articles/CBMimgFBVV95cUxQclh4VEUxNkVDSHlTaEJFVS1YTkJvTENPT1B3dnpLaTZYS1RMaVI0eTJvZ3NEOFBtbzdBRk9SSzNSbXRaQWlsYUctNU5rY2Nka25hUk5mVUVCbU1GMmJ6UER6cGdCY1BIcDM5ZnpSaDJCOWVLWFpmMUVRZVVVSllQSl9URkdCTlV1YXR0bS1MZWR5QXBqcEstbUp3?oc=5")</f>
        <v>https://news.google.com/rss/articles/CBMimgFBVV95cUxQclh4VEUxNkVDSHlTaEJFVS1YTkJvTENPT1B3dnpLaTZYS1RMaVI0eTJvZ3NEOFBtbzdBRk9SSzNSbXRaQWlsYUctNU5rY2Nka25hUk5mVUVCbU1GMmJ6UER6cGdCY1BIcDM5ZnpSaDJCOWVLWFpmMUVRZVVVSllQSl9URkdCTlV1YXR0bS1MZWR5QXBqcEstbUp3?oc=5</v>
      </c>
      <c r="E21" s="5" t="str">
        <f>IFERROR(__xludf.DUMMYFUNCTION("""COMPUTED_VALUE"""),"PRETYZOOM 40 Sets Red Lips Photo Booth Props – Fun Party Decor For 
Weddings, Birthdays, Holidays  aplusme.me")</f>
        <v>PRETYZOOM 40 Sets Red Lips Photo Booth Props – Fun Party Decor For 
Weddings, Birthdays, Holidays  aplusme.me</v>
      </c>
    </row>
  </sheetData>
  <hyperlinks>
    <hyperlink r:id="rId1" ref="A1"/>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s>
  <drawing r:id="rId2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v>
      </c>
      <c r="B1" s="1" t="s">
        <v>840</v>
      </c>
    </row>
    <row r="2">
      <c r="A2" s="1" t="s">
        <v>7</v>
      </c>
      <c r="B2" s="1" t="s">
        <v>841</v>
      </c>
    </row>
    <row r="3">
      <c r="A3" s="1" t="s">
        <v>16</v>
      </c>
      <c r="B3" s="1" t="s">
        <v>842</v>
      </c>
    </row>
    <row r="4">
      <c r="A4" s="1" t="s">
        <v>10</v>
      </c>
      <c r="B4" s="1" t="s">
        <v>843</v>
      </c>
    </row>
    <row r="5">
      <c r="A5" s="1" t="s">
        <v>13</v>
      </c>
      <c r="B5" s="1" t="s">
        <v>844</v>
      </c>
    </row>
    <row r="6">
      <c r="A6" s="1" t="s">
        <v>22</v>
      </c>
      <c r="B6" s="1" t="s">
        <v>845</v>
      </c>
    </row>
    <row r="7">
      <c r="A7" s="1" t="s">
        <v>36</v>
      </c>
      <c r="B7" s="1" t="s">
        <v>846</v>
      </c>
    </row>
    <row r="8">
      <c r="A8" s="1" t="s">
        <v>36</v>
      </c>
      <c r="B8" s="1" t="s">
        <v>847</v>
      </c>
    </row>
  </sheetData>
  <drawing r:id="rId1"/>
</worksheet>
</file>